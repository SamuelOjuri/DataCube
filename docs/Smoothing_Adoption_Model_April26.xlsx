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aperedplus-my.sharepoint.com/personal/sam_taperedplus_co_uk/Documents/Documents/Samsdocs/KTP Project Docs/DataCube/Smoothing Adoption Model/"/>
    </mc:Choice>
  </mc:AlternateContent>
  <xr:revisionPtr revIDLastSave="0" documentId="8_{9ABA6919-D986-47E3-B442-78C22CA5017D}" xr6:coauthVersionLast="47" xr6:coauthVersionMax="47" xr10:uidLastSave="{00000000-0000-0000-0000-000000000000}"/>
  <bookViews>
    <workbookView xWindow="38235" yWindow="-165" windowWidth="29130" windowHeight="15810" firstSheet="1" activeTab="6" xr2:uid="{00000000-000D-0000-FFFF-FFFF00000000}"/>
  </bookViews>
  <sheets>
    <sheet name="Historic_Data" sheetId="1" r:id="rId1"/>
    <sheet name="Dashboard" sheetId="2" r:id="rId2"/>
    <sheet name="Category_Summary" sheetId="3" r:id="rId3"/>
    <sheet name="Type_Summary" sheetId="4" r:id="rId4"/>
    <sheet name="Category_Type_Summary" sheetId="5" r:id="rId5"/>
    <sheet name="Product_Summary" sheetId="6" r:id="rId6"/>
    <sheet name="Account_Summary" sheetId="7" r:id="rId7"/>
    <sheet name="Future_Scoring" sheetId="8" r:id="rId8"/>
    <sheet name="Methodology" sheetId="9" r:id="rId9"/>
  </sheets>
  <definedNames>
    <definedName name="_xlnm._FilterDatabase" localSheetId="0" hidden="1">Historic_Data!$A$1:$L$683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5" i="8" l="1"/>
  <c r="K105" i="8"/>
  <c r="N105" i="8" s="1"/>
  <c r="J105" i="8"/>
  <c r="I105" i="8"/>
  <c r="H105" i="8"/>
  <c r="G105" i="8"/>
  <c r="L104" i="8"/>
  <c r="K104" i="8"/>
  <c r="N104" i="8" s="1"/>
  <c r="J104" i="8"/>
  <c r="I104" i="8"/>
  <c r="H104" i="8"/>
  <c r="G104" i="8"/>
  <c r="L103" i="8"/>
  <c r="K103" i="8"/>
  <c r="N103" i="8" s="1"/>
  <c r="J103" i="8"/>
  <c r="I103" i="8"/>
  <c r="H103" i="8"/>
  <c r="G103" i="8"/>
  <c r="L102" i="8"/>
  <c r="K102" i="8"/>
  <c r="N102" i="8" s="1"/>
  <c r="J102" i="8"/>
  <c r="I102" i="8"/>
  <c r="H102" i="8"/>
  <c r="G102" i="8"/>
  <c r="L101" i="8"/>
  <c r="K101" i="8"/>
  <c r="N101" i="8" s="1"/>
  <c r="J101" i="8"/>
  <c r="I101" i="8"/>
  <c r="H101" i="8"/>
  <c r="G101" i="8"/>
  <c r="L100" i="8"/>
  <c r="K100" i="8"/>
  <c r="N100" i="8" s="1"/>
  <c r="J100" i="8"/>
  <c r="I100" i="8"/>
  <c r="H100" i="8"/>
  <c r="G100" i="8"/>
  <c r="L99" i="8"/>
  <c r="K99" i="8"/>
  <c r="N99" i="8" s="1"/>
  <c r="J99" i="8"/>
  <c r="I99" i="8"/>
  <c r="H99" i="8"/>
  <c r="G99" i="8"/>
  <c r="L98" i="8"/>
  <c r="K98" i="8"/>
  <c r="N98" i="8" s="1"/>
  <c r="J98" i="8"/>
  <c r="I98" i="8"/>
  <c r="H98" i="8"/>
  <c r="G98" i="8"/>
  <c r="L97" i="8"/>
  <c r="K97" i="8"/>
  <c r="N97" i="8" s="1"/>
  <c r="J97" i="8"/>
  <c r="I97" i="8"/>
  <c r="H97" i="8"/>
  <c r="G97" i="8"/>
  <c r="L96" i="8"/>
  <c r="K96" i="8"/>
  <c r="N96" i="8" s="1"/>
  <c r="J96" i="8"/>
  <c r="I96" i="8"/>
  <c r="H96" i="8"/>
  <c r="G96" i="8"/>
  <c r="L95" i="8"/>
  <c r="K95" i="8"/>
  <c r="N95" i="8" s="1"/>
  <c r="J95" i="8"/>
  <c r="I95" i="8"/>
  <c r="H95" i="8"/>
  <c r="G95" i="8"/>
  <c r="L94" i="8"/>
  <c r="K94" i="8"/>
  <c r="N94" i="8" s="1"/>
  <c r="J94" i="8"/>
  <c r="I94" i="8"/>
  <c r="H94" i="8"/>
  <c r="G94" i="8"/>
  <c r="L93" i="8"/>
  <c r="K93" i="8"/>
  <c r="N93" i="8" s="1"/>
  <c r="J93" i="8"/>
  <c r="I93" i="8"/>
  <c r="H93" i="8"/>
  <c r="G93" i="8"/>
  <c r="L92" i="8"/>
  <c r="K92" i="8"/>
  <c r="N92" i="8" s="1"/>
  <c r="J92" i="8"/>
  <c r="I92" i="8"/>
  <c r="H92" i="8"/>
  <c r="G92" i="8"/>
  <c r="L91" i="8"/>
  <c r="K91" i="8"/>
  <c r="N91" i="8" s="1"/>
  <c r="J91" i="8"/>
  <c r="I91" i="8"/>
  <c r="H91" i="8"/>
  <c r="G91" i="8"/>
  <c r="L90" i="8"/>
  <c r="K90" i="8"/>
  <c r="N90" i="8" s="1"/>
  <c r="J90" i="8"/>
  <c r="I90" i="8"/>
  <c r="H90" i="8"/>
  <c r="G90" i="8"/>
  <c r="L89" i="8"/>
  <c r="K89" i="8"/>
  <c r="N89" i="8" s="1"/>
  <c r="J89" i="8"/>
  <c r="I89" i="8"/>
  <c r="H89" i="8"/>
  <c r="G89" i="8"/>
  <c r="L88" i="8"/>
  <c r="K88" i="8"/>
  <c r="N88" i="8" s="1"/>
  <c r="J88" i="8"/>
  <c r="I88" i="8"/>
  <c r="H88" i="8"/>
  <c r="G88" i="8"/>
  <c r="L87" i="8"/>
  <c r="K87" i="8"/>
  <c r="N87" i="8" s="1"/>
  <c r="J87" i="8"/>
  <c r="I87" i="8"/>
  <c r="H87" i="8"/>
  <c r="G87" i="8"/>
  <c r="L86" i="8"/>
  <c r="K86" i="8"/>
  <c r="N86" i="8" s="1"/>
  <c r="J86" i="8"/>
  <c r="I86" i="8"/>
  <c r="H86" i="8"/>
  <c r="G86" i="8"/>
  <c r="L85" i="8"/>
  <c r="K85" i="8"/>
  <c r="N85" i="8" s="1"/>
  <c r="J85" i="8"/>
  <c r="I85" i="8"/>
  <c r="H85" i="8"/>
  <c r="G85" i="8"/>
  <c r="L84" i="8"/>
  <c r="K84" i="8"/>
  <c r="N84" i="8" s="1"/>
  <c r="J84" i="8"/>
  <c r="I84" i="8"/>
  <c r="H84" i="8"/>
  <c r="G84" i="8"/>
  <c r="L83" i="8"/>
  <c r="K83" i="8"/>
  <c r="N83" i="8" s="1"/>
  <c r="J83" i="8"/>
  <c r="I83" i="8"/>
  <c r="H83" i="8"/>
  <c r="G83" i="8"/>
  <c r="L82" i="8"/>
  <c r="K82" i="8"/>
  <c r="N82" i="8" s="1"/>
  <c r="J82" i="8"/>
  <c r="I82" i="8"/>
  <c r="H82" i="8"/>
  <c r="G82" i="8"/>
  <c r="L81" i="8"/>
  <c r="K81" i="8"/>
  <c r="N81" i="8" s="1"/>
  <c r="J81" i="8"/>
  <c r="I81" i="8"/>
  <c r="H81" i="8"/>
  <c r="G81" i="8"/>
  <c r="L80" i="8"/>
  <c r="K80" i="8"/>
  <c r="N80" i="8" s="1"/>
  <c r="J80" i="8"/>
  <c r="I80" i="8"/>
  <c r="H80" i="8"/>
  <c r="G80" i="8"/>
  <c r="L79" i="8"/>
  <c r="K79" i="8"/>
  <c r="N79" i="8" s="1"/>
  <c r="J79" i="8"/>
  <c r="I79" i="8"/>
  <c r="H79" i="8"/>
  <c r="G79" i="8"/>
  <c r="L78" i="8"/>
  <c r="K78" i="8"/>
  <c r="N78" i="8" s="1"/>
  <c r="J78" i="8"/>
  <c r="I78" i="8"/>
  <c r="H78" i="8"/>
  <c r="G78" i="8"/>
  <c r="L77" i="8"/>
  <c r="K77" i="8"/>
  <c r="N77" i="8" s="1"/>
  <c r="J77" i="8"/>
  <c r="I77" i="8"/>
  <c r="H77" i="8"/>
  <c r="G77" i="8"/>
  <c r="L76" i="8"/>
  <c r="K76" i="8"/>
  <c r="N76" i="8" s="1"/>
  <c r="J76" i="8"/>
  <c r="I76" i="8"/>
  <c r="H76" i="8"/>
  <c r="G76" i="8"/>
  <c r="L75" i="8"/>
  <c r="K75" i="8"/>
  <c r="N75" i="8" s="1"/>
  <c r="J75" i="8"/>
  <c r="I75" i="8"/>
  <c r="H75" i="8"/>
  <c r="G75" i="8"/>
  <c r="L74" i="8"/>
  <c r="K74" i="8"/>
  <c r="N74" i="8" s="1"/>
  <c r="J74" i="8"/>
  <c r="I74" i="8"/>
  <c r="H74" i="8"/>
  <c r="G74" i="8"/>
  <c r="L73" i="8"/>
  <c r="K73" i="8"/>
  <c r="N73" i="8" s="1"/>
  <c r="J73" i="8"/>
  <c r="I73" i="8"/>
  <c r="H73" i="8"/>
  <c r="G73" i="8"/>
  <c r="L72" i="8"/>
  <c r="K72" i="8"/>
  <c r="N72" i="8" s="1"/>
  <c r="J72" i="8"/>
  <c r="I72" i="8"/>
  <c r="H72" i="8"/>
  <c r="G72" i="8"/>
  <c r="L71" i="8"/>
  <c r="K71" i="8"/>
  <c r="N71" i="8" s="1"/>
  <c r="J71" i="8"/>
  <c r="I71" i="8"/>
  <c r="H71" i="8"/>
  <c r="G71" i="8"/>
  <c r="L70" i="8"/>
  <c r="K70" i="8"/>
  <c r="N70" i="8" s="1"/>
  <c r="J70" i="8"/>
  <c r="I70" i="8"/>
  <c r="H70" i="8"/>
  <c r="G70" i="8"/>
  <c r="L69" i="8"/>
  <c r="K69" i="8"/>
  <c r="N69" i="8" s="1"/>
  <c r="J69" i="8"/>
  <c r="I69" i="8"/>
  <c r="H69" i="8"/>
  <c r="G69" i="8"/>
  <c r="L68" i="8"/>
  <c r="K68" i="8"/>
  <c r="N68" i="8" s="1"/>
  <c r="J68" i="8"/>
  <c r="I68" i="8"/>
  <c r="H68" i="8"/>
  <c r="G68" i="8"/>
  <c r="L67" i="8"/>
  <c r="K67" i="8"/>
  <c r="N67" i="8" s="1"/>
  <c r="J67" i="8"/>
  <c r="I67" i="8"/>
  <c r="H67" i="8"/>
  <c r="G67" i="8"/>
  <c r="L66" i="8"/>
  <c r="K66" i="8"/>
  <c r="N66" i="8" s="1"/>
  <c r="J66" i="8"/>
  <c r="I66" i="8"/>
  <c r="H66" i="8"/>
  <c r="G66" i="8"/>
  <c r="L65" i="8"/>
  <c r="K65" i="8"/>
  <c r="N65" i="8" s="1"/>
  <c r="J65" i="8"/>
  <c r="I65" i="8"/>
  <c r="H65" i="8"/>
  <c r="G65" i="8"/>
  <c r="L64" i="8"/>
  <c r="K64" i="8"/>
  <c r="N64" i="8" s="1"/>
  <c r="J64" i="8"/>
  <c r="I64" i="8"/>
  <c r="H64" i="8"/>
  <c r="G64" i="8"/>
  <c r="L63" i="8"/>
  <c r="K63" i="8"/>
  <c r="N63" i="8" s="1"/>
  <c r="J63" i="8"/>
  <c r="I63" i="8"/>
  <c r="H63" i="8"/>
  <c r="G63" i="8"/>
  <c r="L62" i="8"/>
  <c r="K62" i="8"/>
  <c r="N62" i="8" s="1"/>
  <c r="J62" i="8"/>
  <c r="I62" i="8"/>
  <c r="H62" i="8"/>
  <c r="G62" i="8"/>
  <c r="L61" i="8"/>
  <c r="K61" i="8"/>
  <c r="N61" i="8" s="1"/>
  <c r="J61" i="8"/>
  <c r="I61" i="8"/>
  <c r="H61" i="8"/>
  <c r="G61" i="8"/>
  <c r="L60" i="8"/>
  <c r="K60" i="8"/>
  <c r="N60" i="8" s="1"/>
  <c r="J60" i="8"/>
  <c r="I60" i="8"/>
  <c r="H60" i="8"/>
  <c r="G60" i="8"/>
  <c r="L59" i="8"/>
  <c r="K59" i="8"/>
  <c r="N59" i="8" s="1"/>
  <c r="J59" i="8"/>
  <c r="I59" i="8"/>
  <c r="H59" i="8"/>
  <c r="G59" i="8"/>
  <c r="L58" i="8"/>
  <c r="K58" i="8"/>
  <c r="N58" i="8" s="1"/>
  <c r="J58" i="8"/>
  <c r="I58" i="8"/>
  <c r="H58" i="8"/>
  <c r="G58" i="8"/>
  <c r="L57" i="8"/>
  <c r="K57" i="8"/>
  <c r="N57" i="8" s="1"/>
  <c r="J57" i="8"/>
  <c r="I57" i="8"/>
  <c r="H57" i="8"/>
  <c r="G57" i="8"/>
  <c r="L56" i="8"/>
  <c r="K56" i="8"/>
  <c r="N56" i="8" s="1"/>
  <c r="J56" i="8"/>
  <c r="I56" i="8"/>
  <c r="H56" i="8"/>
  <c r="G56" i="8"/>
  <c r="L55" i="8"/>
  <c r="K55" i="8"/>
  <c r="N55" i="8" s="1"/>
  <c r="J55" i="8"/>
  <c r="I55" i="8"/>
  <c r="H55" i="8"/>
  <c r="G55" i="8"/>
  <c r="L54" i="8"/>
  <c r="K54" i="8"/>
  <c r="N54" i="8" s="1"/>
  <c r="J54" i="8"/>
  <c r="I54" i="8"/>
  <c r="H54" i="8"/>
  <c r="G54" i="8"/>
  <c r="L53" i="8"/>
  <c r="K53" i="8"/>
  <c r="N53" i="8" s="1"/>
  <c r="J53" i="8"/>
  <c r="I53" i="8"/>
  <c r="H53" i="8"/>
  <c r="G53" i="8"/>
  <c r="L52" i="8"/>
  <c r="K52" i="8"/>
  <c r="N52" i="8" s="1"/>
  <c r="J52" i="8"/>
  <c r="I52" i="8"/>
  <c r="H52" i="8"/>
  <c r="G52" i="8"/>
  <c r="L51" i="8"/>
  <c r="K51" i="8"/>
  <c r="N51" i="8" s="1"/>
  <c r="J51" i="8"/>
  <c r="I51" i="8"/>
  <c r="H51" i="8"/>
  <c r="G51" i="8"/>
  <c r="L50" i="8"/>
  <c r="K50" i="8"/>
  <c r="N50" i="8" s="1"/>
  <c r="J50" i="8"/>
  <c r="I50" i="8"/>
  <c r="H50" i="8"/>
  <c r="G50" i="8"/>
  <c r="L49" i="8"/>
  <c r="K49" i="8"/>
  <c r="N49" i="8" s="1"/>
  <c r="J49" i="8"/>
  <c r="I49" i="8"/>
  <c r="H49" i="8"/>
  <c r="G49" i="8"/>
  <c r="L48" i="8"/>
  <c r="K48" i="8"/>
  <c r="N48" i="8" s="1"/>
  <c r="J48" i="8"/>
  <c r="I48" i="8"/>
  <c r="H48" i="8"/>
  <c r="G48" i="8"/>
  <c r="L47" i="8"/>
  <c r="K47" i="8"/>
  <c r="N47" i="8" s="1"/>
  <c r="J47" i="8"/>
  <c r="I47" i="8"/>
  <c r="H47" i="8"/>
  <c r="G47" i="8"/>
  <c r="L46" i="8"/>
  <c r="K46" i="8"/>
  <c r="N46" i="8" s="1"/>
  <c r="J46" i="8"/>
  <c r="I46" i="8"/>
  <c r="H46" i="8"/>
  <c r="G46" i="8"/>
  <c r="L45" i="8"/>
  <c r="K45" i="8"/>
  <c r="N45" i="8" s="1"/>
  <c r="J45" i="8"/>
  <c r="I45" i="8"/>
  <c r="H45" i="8"/>
  <c r="G45" i="8"/>
  <c r="L44" i="8"/>
  <c r="K44" i="8"/>
  <c r="N44" i="8" s="1"/>
  <c r="J44" i="8"/>
  <c r="I44" i="8"/>
  <c r="H44" i="8"/>
  <c r="G44" i="8"/>
  <c r="L43" i="8"/>
  <c r="K43" i="8"/>
  <c r="N43" i="8" s="1"/>
  <c r="J43" i="8"/>
  <c r="I43" i="8"/>
  <c r="H43" i="8"/>
  <c r="G43" i="8"/>
  <c r="L42" i="8"/>
  <c r="K42" i="8"/>
  <c r="N42" i="8" s="1"/>
  <c r="J42" i="8"/>
  <c r="I42" i="8"/>
  <c r="H42" i="8"/>
  <c r="G42" i="8"/>
  <c r="L41" i="8"/>
  <c r="K41" i="8"/>
  <c r="N41" i="8" s="1"/>
  <c r="J41" i="8"/>
  <c r="I41" i="8"/>
  <c r="H41" i="8"/>
  <c r="G41" i="8"/>
  <c r="L40" i="8"/>
  <c r="K40" i="8"/>
  <c r="N40" i="8" s="1"/>
  <c r="J40" i="8"/>
  <c r="I40" i="8"/>
  <c r="H40" i="8"/>
  <c r="G40" i="8"/>
  <c r="L39" i="8"/>
  <c r="K39" i="8"/>
  <c r="N39" i="8" s="1"/>
  <c r="J39" i="8"/>
  <c r="I39" i="8"/>
  <c r="H39" i="8"/>
  <c r="G39" i="8"/>
  <c r="L38" i="8"/>
  <c r="K38" i="8"/>
  <c r="N38" i="8" s="1"/>
  <c r="J38" i="8"/>
  <c r="I38" i="8"/>
  <c r="H38" i="8"/>
  <c r="G38" i="8"/>
  <c r="L37" i="8"/>
  <c r="K37" i="8"/>
  <c r="N37" i="8" s="1"/>
  <c r="J37" i="8"/>
  <c r="I37" i="8"/>
  <c r="H37" i="8"/>
  <c r="G37" i="8"/>
  <c r="L36" i="8"/>
  <c r="K36" i="8"/>
  <c r="N36" i="8" s="1"/>
  <c r="J36" i="8"/>
  <c r="I36" i="8"/>
  <c r="H36" i="8"/>
  <c r="G36" i="8"/>
  <c r="L35" i="8"/>
  <c r="K35" i="8"/>
  <c r="N35" i="8" s="1"/>
  <c r="J35" i="8"/>
  <c r="I35" i="8"/>
  <c r="H35" i="8"/>
  <c r="G35" i="8"/>
  <c r="L34" i="8"/>
  <c r="K34" i="8"/>
  <c r="N34" i="8" s="1"/>
  <c r="J34" i="8"/>
  <c r="I34" i="8"/>
  <c r="H34" i="8"/>
  <c r="G34" i="8"/>
  <c r="L33" i="8"/>
  <c r="K33" i="8"/>
  <c r="N33" i="8" s="1"/>
  <c r="J33" i="8"/>
  <c r="I33" i="8"/>
  <c r="H33" i="8"/>
  <c r="G33" i="8"/>
  <c r="L32" i="8"/>
  <c r="K32" i="8"/>
  <c r="N32" i="8" s="1"/>
  <c r="J32" i="8"/>
  <c r="I32" i="8"/>
  <c r="H32" i="8"/>
  <c r="G32" i="8"/>
  <c r="L31" i="8"/>
  <c r="K31" i="8"/>
  <c r="N31" i="8" s="1"/>
  <c r="J31" i="8"/>
  <c r="I31" i="8"/>
  <c r="H31" i="8"/>
  <c r="G31" i="8"/>
  <c r="L30" i="8"/>
  <c r="K30" i="8"/>
  <c r="N30" i="8" s="1"/>
  <c r="J30" i="8"/>
  <c r="I30" i="8"/>
  <c r="H30" i="8"/>
  <c r="G30" i="8"/>
  <c r="L29" i="8"/>
  <c r="K29" i="8"/>
  <c r="N29" i="8" s="1"/>
  <c r="J29" i="8"/>
  <c r="I29" i="8"/>
  <c r="H29" i="8"/>
  <c r="G29" i="8"/>
  <c r="L28" i="8"/>
  <c r="K28" i="8"/>
  <c r="N28" i="8" s="1"/>
  <c r="J28" i="8"/>
  <c r="I28" i="8"/>
  <c r="H28" i="8"/>
  <c r="G28" i="8"/>
  <c r="L27" i="8"/>
  <c r="K27" i="8"/>
  <c r="N27" i="8" s="1"/>
  <c r="J27" i="8"/>
  <c r="I27" i="8"/>
  <c r="H27" i="8"/>
  <c r="G27" i="8"/>
  <c r="L26" i="8"/>
  <c r="K26" i="8"/>
  <c r="N26" i="8" s="1"/>
  <c r="J26" i="8"/>
  <c r="I26" i="8"/>
  <c r="H26" i="8"/>
  <c r="G26" i="8"/>
  <c r="L25" i="8"/>
  <c r="K25" i="8"/>
  <c r="N25" i="8" s="1"/>
  <c r="J25" i="8"/>
  <c r="I25" i="8"/>
  <c r="H25" i="8"/>
  <c r="G25" i="8"/>
  <c r="L24" i="8"/>
  <c r="K24" i="8"/>
  <c r="N24" i="8" s="1"/>
  <c r="J24" i="8"/>
  <c r="I24" i="8"/>
  <c r="H24" i="8"/>
  <c r="G24" i="8"/>
  <c r="L23" i="8"/>
  <c r="K23" i="8"/>
  <c r="N23" i="8" s="1"/>
  <c r="J23" i="8"/>
  <c r="I23" i="8"/>
  <c r="H23" i="8"/>
  <c r="G23" i="8"/>
  <c r="L22" i="8"/>
  <c r="K22" i="8"/>
  <c r="N22" i="8" s="1"/>
  <c r="J22" i="8"/>
  <c r="I22" i="8"/>
  <c r="H22" i="8"/>
  <c r="G22" i="8"/>
  <c r="L21" i="8"/>
  <c r="K21" i="8"/>
  <c r="N21" i="8" s="1"/>
  <c r="J21" i="8"/>
  <c r="I21" i="8"/>
  <c r="H21" i="8"/>
  <c r="G21" i="8"/>
  <c r="L20" i="8"/>
  <c r="K20" i="8"/>
  <c r="N20" i="8" s="1"/>
  <c r="J20" i="8"/>
  <c r="I20" i="8"/>
  <c r="H20" i="8"/>
  <c r="G20" i="8"/>
  <c r="L19" i="8"/>
  <c r="K19" i="8"/>
  <c r="N19" i="8" s="1"/>
  <c r="J19" i="8"/>
  <c r="I19" i="8"/>
  <c r="H19" i="8"/>
  <c r="G19" i="8"/>
  <c r="L18" i="8"/>
  <c r="K18" i="8"/>
  <c r="N18" i="8" s="1"/>
  <c r="J18" i="8"/>
  <c r="I18" i="8"/>
  <c r="H18" i="8"/>
  <c r="G18" i="8"/>
  <c r="L17" i="8"/>
  <c r="K17" i="8"/>
  <c r="N17" i="8" s="1"/>
  <c r="J17" i="8"/>
  <c r="I17" i="8"/>
  <c r="H17" i="8"/>
  <c r="G17" i="8"/>
  <c r="L16" i="8"/>
  <c r="K16" i="8"/>
  <c r="N16" i="8" s="1"/>
  <c r="J16" i="8"/>
  <c r="I16" i="8"/>
  <c r="H16" i="8"/>
  <c r="G16" i="8"/>
  <c r="L15" i="8"/>
  <c r="K15" i="8"/>
  <c r="N15" i="8" s="1"/>
  <c r="J15" i="8"/>
  <c r="I15" i="8"/>
  <c r="H15" i="8"/>
  <c r="G15" i="8"/>
  <c r="L14" i="8"/>
  <c r="K14" i="8"/>
  <c r="N14" i="8" s="1"/>
  <c r="J14" i="8"/>
  <c r="I14" i="8"/>
  <c r="H14" i="8"/>
  <c r="G14" i="8"/>
  <c r="L13" i="8"/>
  <c r="K13" i="8"/>
  <c r="N13" i="8" s="1"/>
  <c r="J13" i="8"/>
  <c r="I13" i="8"/>
  <c r="H13" i="8"/>
  <c r="G13" i="8"/>
  <c r="L12" i="8"/>
  <c r="K12" i="8"/>
  <c r="N12" i="8" s="1"/>
  <c r="J12" i="8"/>
  <c r="I12" i="8"/>
  <c r="H12" i="8"/>
  <c r="G12" i="8"/>
  <c r="L11" i="8"/>
  <c r="K11" i="8"/>
  <c r="N11" i="8" s="1"/>
  <c r="J11" i="8"/>
  <c r="I11" i="8"/>
  <c r="H11" i="8"/>
  <c r="G11" i="8"/>
  <c r="L10" i="8"/>
  <c r="K10" i="8"/>
  <c r="N10" i="8" s="1"/>
  <c r="J10" i="8"/>
  <c r="I10" i="8"/>
  <c r="H10" i="8"/>
  <c r="G10" i="8"/>
  <c r="L9" i="8"/>
  <c r="K9" i="8"/>
  <c r="N9" i="8" s="1"/>
  <c r="J9" i="8"/>
  <c r="I9" i="8"/>
  <c r="H9" i="8"/>
  <c r="G9" i="8"/>
  <c r="L8" i="8"/>
  <c r="K8" i="8"/>
  <c r="N8" i="8" s="1"/>
  <c r="J8" i="8"/>
  <c r="I8" i="8"/>
  <c r="H8" i="8"/>
  <c r="G8" i="8"/>
  <c r="L7" i="8"/>
  <c r="K7" i="8"/>
  <c r="N7" i="8" s="1"/>
  <c r="J7" i="8"/>
  <c r="I7" i="8"/>
  <c r="H7" i="8"/>
  <c r="G7" i="8"/>
  <c r="L6" i="8"/>
  <c r="K6" i="8"/>
  <c r="N6" i="8" s="1"/>
  <c r="J6" i="8"/>
  <c r="I6" i="8"/>
  <c r="H6" i="8"/>
  <c r="G6" i="8"/>
  <c r="M6" i="8" l="1"/>
  <c r="M10" i="8"/>
  <c r="M14" i="8"/>
  <c r="M18" i="8"/>
  <c r="M22" i="8"/>
  <c r="M26" i="8"/>
  <c r="M30" i="8"/>
  <c r="M34" i="8"/>
  <c r="M38" i="8"/>
  <c r="M42" i="8"/>
  <c r="M46" i="8"/>
  <c r="M50" i="8"/>
  <c r="M54" i="8"/>
  <c r="M58" i="8"/>
  <c r="M62" i="8"/>
  <c r="M66" i="8"/>
  <c r="M70" i="8"/>
  <c r="M74" i="8"/>
  <c r="M78" i="8"/>
  <c r="M82" i="8"/>
  <c r="M86" i="8"/>
  <c r="M90" i="8"/>
  <c r="M94" i="8"/>
  <c r="M98" i="8"/>
  <c r="M102" i="8"/>
  <c r="M27" i="8"/>
  <c r="M99" i="8"/>
  <c r="M7" i="8"/>
  <c r="M11" i="8"/>
  <c r="M15" i="8"/>
  <c r="M19" i="8"/>
  <c r="M23" i="8"/>
  <c r="M31" i="8"/>
  <c r="M35" i="8"/>
  <c r="M39" i="8"/>
  <c r="M43" i="8"/>
  <c r="M47" i="8"/>
  <c r="M51" i="8"/>
  <c r="M55" i="8"/>
  <c r="M59" i="8"/>
  <c r="M63" i="8"/>
  <c r="M67" i="8"/>
  <c r="M71" i="8"/>
  <c r="M75" i="8"/>
  <c r="M79" i="8"/>
  <c r="M83" i="8"/>
  <c r="M87" i="8"/>
  <c r="M91" i="8"/>
  <c r="M95" i="8"/>
  <c r="M103" i="8"/>
  <c r="M8" i="8"/>
  <c r="M12" i="8"/>
  <c r="M16" i="8"/>
  <c r="M20" i="8"/>
  <c r="M24" i="8"/>
  <c r="M28" i="8"/>
  <c r="M32" i="8"/>
  <c r="M36" i="8"/>
  <c r="M40" i="8"/>
  <c r="M44" i="8"/>
  <c r="M48" i="8"/>
  <c r="M52" i="8"/>
  <c r="M56" i="8"/>
  <c r="M60" i="8"/>
  <c r="M64" i="8"/>
  <c r="M68" i="8"/>
  <c r="M72" i="8"/>
  <c r="M76" i="8"/>
  <c r="M80" i="8"/>
  <c r="M84" i="8"/>
  <c r="M88" i="8"/>
  <c r="M92" i="8"/>
  <c r="M96" i="8"/>
  <c r="M100" i="8"/>
  <c r="M104" i="8"/>
  <c r="M9" i="8"/>
  <c r="M13" i="8"/>
  <c r="M17" i="8"/>
  <c r="M21" i="8"/>
  <c r="M25" i="8"/>
  <c r="M29" i="8"/>
  <c r="M33" i="8"/>
  <c r="M37" i="8"/>
  <c r="M41" i="8"/>
  <c r="M45" i="8"/>
  <c r="M49" i="8"/>
  <c r="M53" i="8"/>
  <c r="M57" i="8"/>
  <c r="M61" i="8"/>
  <c r="M65" i="8"/>
  <c r="M69" i="8"/>
  <c r="M73" i="8"/>
  <c r="M77" i="8"/>
  <c r="M81" i="8"/>
  <c r="M85" i="8"/>
  <c r="M89" i="8"/>
  <c r="M93" i="8"/>
  <c r="M97" i="8"/>
  <c r="M101" i="8"/>
  <c r="M105" i="8"/>
</calcChain>
</file>

<file path=xl/sharedStrings.xml><?xml version="1.0" encoding="utf-8"?>
<sst xmlns="http://schemas.openxmlformats.org/spreadsheetml/2006/main" count="5166" uniqueCount="2482">
  <si>
    <t>Name</t>
  </si>
  <si>
    <t>Project Name</t>
  </si>
  <si>
    <t>Category</t>
  </si>
  <si>
    <t>Type</t>
  </si>
  <si>
    <t>First Date Designed</t>
  </si>
  <si>
    <t>Last Date Designed</t>
  </si>
  <si>
    <t>First Date Invoiced</t>
  </si>
  <si>
    <t>Last Date Invoiced</t>
  </si>
  <si>
    <t>Gestation Period (DAYS)</t>
  </si>
  <si>
    <t>Invoicing spread (DAYS)</t>
  </si>
  <si>
    <t>Account Mirror</t>
  </si>
  <si>
    <t>Product Mirror</t>
  </si>
  <si>
    <t>18038</t>
  </si>
  <si>
    <t>Building 900, Chesterford Research Park, CB</t>
  </si>
  <si>
    <t>Health</t>
  </si>
  <si>
    <t>Refurbishment</t>
  </si>
  <si>
    <t>Cambridge Roofers Ltd</t>
  </si>
  <si>
    <t>Tissue Faced PIR</t>
  </si>
  <si>
    <t>17999</t>
  </si>
  <si>
    <t>Argyle works, G</t>
  </si>
  <si>
    <t>Apartments</t>
  </si>
  <si>
    <t>New Build</t>
  </si>
  <si>
    <t>Jackson &amp; Dix Roofing Ltd</t>
  </si>
  <si>
    <t>18002</t>
  </si>
  <si>
    <t>Bawtry Park, S</t>
  </si>
  <si>
    <t>Commercial</t>
  </si>
  <si>
    <t>M.K.M Building Supplies (Holdings) Limited</t>
  </si>
  <si>
    <t>Foil Faced PIR</t>
  </si>
  <si>
    <t>17981</t>
  </si>
  <si>
    <t>Bannatyne Health Club &amp; Spa Briar Ln, Mansfield, NG</t>
  </si>
  <si>
    <t>FATRA UK LTD</t>
  </si>
  <si>
    <t>17966</t>
  </si>
  <si>
    <t>Random close, SG</t>
  </si>
  <si>
    <t>House</t>
  </si>
  <si>
    <t>EPD Insulation Group Ltd, EPD Insulation Group Ltd</t>
  </si>
  <si>
    <t>Tissue Faced PIR, Tissue Faced PIR</t>
  </si>
  <si>
    <t>17955</t>
  </si>
  <si>
    <t>Tudor Academy CR</t>
  </si>
  <si>
    <t>Education</t>
  </si>
  <si>
    <t>Langley Waterproofing Systems Limited</t>
  </si>
  <si>
    <t>17947</t>
  </si>
  <si>
    <t>Balcombe Breeze BH</t>
  </si>
  <si>
    <t>Williams Roofing Contracts Limited</t>
  </si>
  <si>
    <t>17943</t>
  </si>
  <si>
    <t>39 Highfield Avenue, BR</t>
  </si>
  <si>
    <t>Alltype Roofing Supplies Ltd</t>
  </si>
  <si>
    <t>Torch On PIR</t>
  </si>
  <si>
    <t>17931</t>
  </si>
  <si>
    <t>SESS, Cramlington, NE</t>
  </si>
  <si>
    <t>Lancastria LLP</t>
  </si>
  <si>
    <t>17909</t>
  </si>
  <si>
    <t>Berrylands court Sutton</t>
  </si>
  <si>
    <t>Westwood Liquid Technologies Limited, Westwood Liquid Technologies Limited</t>
  </si>
  <si>
    <t>17892</t>
  </si>
  <si>
    <t>GO Ebbw Vale</t>
  </si>
  <si>
    <t>A.Baul Roofing</t>
  </si>
  <si>
    <t>17839</t>
  </si>
  <si>
    <t>41 Clarendon Road, London W11</t>
  </si>
  <si>
    <t>ICB (Waterproofing) Ltd</t>
  </si>
  <si>
    <t>Tissue Faced PIR, VIPs</t>
  </si>
  <si>
    <t>17823</t>
  </si>
  <si>
    <t>9 Manor Way</t>
  </si>
  <si>
    <t>DO NOT USE Alltype Roofing Supplies Group LTD, DO NOT USE Alltype Roofing Supplies Group LTD</t>
  </si>
  <si>
    <t>Torch On PIR, Torch On PIR</t>
  </si>
  <si>
    <t>17811</t>
  </si>
  <si>
    <t>Bay View - Praa Sands, TR</t>
  </si>
  <si>
    <t>Western Flat Roofing Company Limited, Western Flat Roofing Company Limited, Western Flat Roofing Company Limited</t>
  </si>
  <si>
    <t>Tissue Faced PIR, Tissue Faced PIR, Tissue Faced PIR</t>
  </si>
  <si>
    <t>17807</t>
  </si>
  <si>
    <t>West Middlesex Ambulatory Diagnostic Centre</t>
  </si>
  <si>
    <t>Axter Limited, Axter Limited, Axter Limited</t>
  </si>
  <si>
    <t>ROCKWOOL HardRock Multi-Fix (DD), ROCKWOOL HardRock Multi-Fix (DD), ROCKWOOL HardRock Multi-Fix (DD)</t>
  </si>
  <si>
    <t>17798</t>
  </si>
  <si>
    <t>Godwin Rd, CT</t>
  </si>
  <si>
    <t>Alltype Roofing Supplies Ltd, DO NOT USE Alltype Roofing Supplies Group LTD, DO NOT USE Alltype Roofing Supplies Group LTD, DO NOT USE Alltype Roofing Supplies Group LTD, DO NOT USE Alltype Roofing Supplies Group LTD, DO NOT USE Alltype Roofing Supplies Group LTD, DO NOT USE Alltype Roofing Supplies Group LTD</t>
  </si>
  <si>
    <t>Torch On PIR, Torch On PIR, Torch On PIR, Torch On PIR, Torch On PIR, Torch On PIR, Torch On PIR</t>
  </si>
  <si>
    <t>17776</t>
  </si>
  <si>
    <t>Redhill Primary School</t>
  </si>
  <si>
    <t>17759</t>
  </si>
  <si>
    <t>Capital House, Newham Probation Office</t>
  </si>
  <si>
    <t>Tremco CPG UK Limited, Tremco CPG UK Limited</t>
  </si>
  <si>
    <t>17758</t>
  </si>
  <si>
    <t>Gees Caerphillywon</t>
  </si>
  <si>
    <t>17746</t>
  </si>
  <si>
    <t>11 North Street, Wetherby, LS22 6NT</t>
  </si>
  <si>
    <t>Lancastria LLP, Lancastria LLP, Lancastria LLP</t>
  </si>
  <si>
    <t>Torch On PIR, Tissue Faced PIR, Tissue Faced PIR</t>
  </si>
  <si>
    <t>17738</t>
  </si>
  <si>
    <t>CCL Ashford, TN</t>
  </si>
  <si>
    <t>Tremco CPG UK Limited, Tremco CPG UK Limited, Tremco CPG UK Limited, Tremco CPG UK Limited</t>
  </si>
  <si>
    <t>Tissue Faced PIR, Tissue Faced PIR, Tissue Faced PIR, VIPs, Tissue Faced PIR</t>
  </si>
  <si>
    <t>17708</t>
  </si>
  <si>
    <t>4 Conybeare, London, NW3 3SD</t>
  </si>
  <si>
    <t>DHP Roofing LTD, DHP Roofing LTD, DHP Roofing LTD, DHP Roofing LTD</t>
  </si>
  <si>
    <t>Tissue Faced PIR, Tissue Faced PIR, Tissue Faced PIR, VIPs, Tissue Faced PIR, VIPs</t>
  </si>
  <si>
    <t>17691</t>
  </si>
  <si>
    <t>Broghill House Wimbledon</t>
  </si>
  <si>
    <t>FATRA UK LTD, FATRA UK LTD, FATRA UK LTD</t>
  </si>
  <si>
    <t>Tissue Faced PIR, VIPs, VIPs, Tissue Faced PIR</t>
  </si>
  <si>
    <t>17682</t>
  </si>
  <si>
    <t>52 Acacia NW86AL</t>
  </si>
  <si>
    <t>17679</t>
  </si>
  <si>
    <t>Parcel 5 Linmere, Waterslade Way, Houghton Regis, LU5 5GX</t>
  </si>
  <si>
    <t>Renolit UK Limited, Renolit UK Limited, Renolit UK Limited, Renolit UK Limited, Renolit UK Limited, Renolit UK Limited</t>
  </si>
  <si>
    <t>Tissue Faced PIR, Tissue Faced PIR, Foil Faced PIR, Foil Faced PIR, Foil Faced PIR, Foil Faced PIR, Foil Faced PIR</t>
  </si>
  <si>
    <t>17678</t>
  </si>
  <si>
    <t>Leaside Lock - Townhouses, E</t>
  </si>
  <si>
    <t>Axter Limited, Axter Limited, Axter Limited, Axter Limited</t>
  </si>
  <si>
    <t>Tissue Faced PIR, Tissue Faced PIR, Tissue Faced PIR, Tissue Faced PIR</t>
  </si>
  <si>
    <t>17677</t>
  </si>
  <si>
    <t>Hampton Dene Primary School Extension HR</t>
  </si>
  <si>
    <t>Rockwool Limited (Bauder), Rockwool Limited (Bauder)</t>
  </si>
  <si>
    <t>ROCKWOOL HardRock Multi-Fix (DD), ROCKWOOL HardRock Multi-Fix (DD)</t>
  </si>
  <si>
    <t>17669</t>
  </si>
  <si>
    <t>Camberley court Sutton SM2 6BB</t>
  </si>
  <si>
    <t>Tissue Faced PIR (Prebonded), Tissue Faced PIR (Prebonded)</t>
  </si>
  <si>
    <t>17667</t>
  </si>
  <si>
    <t>St Georges fields W</t>
  </si>
  <si>
    <t>Galaxy Insulation And Dry Lining Limited, JJ Roofing Supplies Limited, JJ Roofing Supplies Limited, JJ Roofing Supplies Limited</t>
  </si>
  <si>
    <t>17662</t>
  </si>
  <si>
    <t>208 Addiscombe Road Croydon CR0 7LB</t>
  </si>
  <si>
    <t>GentleCraft Limited, GentleCraft Limited, GentleCraft Limited</t>
  </si>
  <si>
    <t>Torch On PIR, Torch On PIR, Torch On PIR</t>
  </si>
  <si>
    <t>17634</t>
  </si>
  <si>
    <t>Belgravia House</t>
  </si>
  <si>
    <t>17617</t>
  </si>
  <si>
    <t>15 Dunnock Close, Guisborough, TS</t>
  </si>
  <si>
    <t>Samuel Moore Roofing Ltd</t>
  </si>
  <si>
    <t>17609</t>
  </si>
  <si>
    <t>St Luke's C Of E School, Worksop S81 8PW</t>
  </si>
  <si>
    <t>Education, Commercial</t>
  </si>
  <si>
    <t>Polyglass, Polyglass</t>
  </si>
  <si>
    <t>17602</t>
  </si>
  <si>
    <t>Garden Room, Washers Farm, Raddington</t>
  </si>
  <si>
    <t>Artisan Roofing SW Limited, Artizan Roofing Limited, M.Markovitz Limited</t>
  </si>
  <si>
    <t>17592</t>
  </si>
  <si>
    <t>CWL01 - XFM Building, CW</t>
  </si>
  <si>
    <t>Datacentre</t>
  </si>
  <si>
    <t>Moy Materials (UK) Limited, Moy Materials (UK) Limited, Moy Materials (UK) Limited</t>
  </si>
  <si>
    <t>ROCKWOOL HardRock Multi-Fix (DD), Torch On PIR, Torch On PIR</t>
  </si>
  <si>
    <t>17557</t>
  </si>
  <si>
    <t>16 Church Way, London, N20 0LA</t>
  </si>
  <si>
    <t>17555</t>
  </si>
  <si>
    <t>Harrop Road</t>
  </si>
  <si>
    <t>SIG Distribution, SIG Distribution, SIG Distribution, SIG Distribution</t>
  </si>
  <si>
    <t>Torch On PIR, Torch On PIR, Tissue Faced PIR, Tissue Faced PIR</t>
  </si>
  <si>
    <t>17546</t>
  </si>
  <si>
    <t>The Croft  La Grande Rue St Martin Guernsey GY4 6RX</t>
  </si>
  <si>
    <t>Sarnian Roofing Limited, Sarnian Roofing Limited, Sarnian Roofing Limited</t>
  </si>
  <si>
    <t>17545</t>
  </si>
  <si>
    <t>Stranraer Watersports Hub</t>
  </si>
  <si>
    <t>Leisure</t>
  </si>
  <si>
    <t>MBM Roofing (EK) Limited, MBM Roofing (EK) Limited</t>
  </si>
  <si>
    <t>17530</t>
  </si>
  <si>
    <t>718–722 Seven Sisters Road</t>
  </si>
  <si>
    <t>Axter Limited, Axter Limited, ALB Waterproofing Ltd</t>
  </si>
  <si>
    <t>Tissue Faced PIR, ROCKWOOL HardRock Multi-Fix (DD), Tissue Faced PIR</t>
  </si>
  <si>
    <t>17524</t>
  </si>
  <si>
    <t>The White Swan</t>
  </si>
  <si>
    <t>Roofbase Limited, Roofbase Limited</t>
  </si>
  <si>
    <t>17508</t>
  </si>
  <si>
    <t>77 Walmgate, YO</t>
  </si>
  <si>
    <t>FATRA UK LTD, FATRA UK LTD</t>
  </si>
  <si>
    <t>17507</t>
  </si>
  <si>
    <t>Unspecified Roof - RM13 8UB</t>
  </si>
  <si>
    <t>Galaxy Insulation And Dry Lining Limited, Galaxy Insulation And Dry Lining Limited</t>
  </si>
  <si>
    <t>17504</t>
  </si>
  <si>
    <t>Newton heights CF</t>
  </si>
  <si>
    <t>ROCKWOOL HardRock Multi-Fix (DD), Tissue Faced PIR, Tissue Faced PIR</t>
  </si>
  <si>
    <t>17487</t>
  </si>
  <si>
    <t>Vulcan Seals Ltd, Rotheram, S</t>
  </si>
  <si>
    <t>Industrial</t>
  </si>
  <si>
    <t>17463</t>
  </si>
  <si>
    <t>Roe Wood Park</t>
  </si>
  <si>
    <t>Axter Limited, Axter Limited, Axter Limited, Axter Limited, Axter Limited</t>
  </si>
  <si>
    <t>Tissue Faced PIR, Tissue Faced PIR, Tissue Faced PIR, Tissue Faced PIR, Tissue Faced PIR</t>
  </si>
  <si>
    <t>17461</t>
  </si>
  <si>
    <t>Southend High Street, SS</t>
  </si>
  <si>
    <t>D&amp;L's Flat Roofing Limited</t>
  </si>
  <si>
    <t>17459</t>
  </si>
  <si>
    <t>Broke Hall School, Ipswich, IP</t>
  </si>
  <si>
    <t>Acclaim Contracts Limited, Acclaim Contracts Limited, Acclaim Contracts Limited, Acclaim Contracts Limited, Acclaim Contracts Limited</t>
  </si>
  <si>
    <t>17451</t>
  </si>
  <si>
    <t>Cliffs Pavillion, Southend On Sea</t>
  </si>
  <si>
    <t>FATRA UK LTD, Chandlers  Roofing</t>
  </si>
  <si>
    <t>17446</t>
  </si>
  <si>
    <t>Collyhurst Village, Manchester</t>
  </si>
  <si>
    <t>Mixed Use</t>
  </si>
  <si>
    <t>Protan (UK) Ltd, Protan (UK) Ltd</t>
  </si>
  <si>
    <t>17438</t>
  </si>
  <si>
    <t>19 Wickcliffe Avenue</t>
  </si>
  <si>
    <t>AccuRoof</t>
  </si>
  <si>
    <t>17437</t>
  </si>
  <si>
    <t>25 Ford Park Crescent,  LA</t>
  </si>
  <si>
    <t>Walkers Waterproofing Ltd, Walkers Waterproofing Ltd</t>
  </si>
  <si>
    <t>17403</t>
  </si>
  <si>
    <t>Argos House, E2 6QR</t>
  </si>
  <si>
    <t>Prokol, Prokol</t>
  </si>
  <si>
    <t>Foil Faced PIR, Foil Faced PIR</t>
  </si>
  <si>
    <t>17399</t>
  </si>
  <si>
    <t>Sweden Park</t>
  </si>
  <si>
    <t>17398</t>
  </si>
  <si>
    <t>346 Allerton Road, Bradford</t>
  </si>
  <si>
    <t>Lancastria LLP, Lancastria LLP, Lancastria LLP, Lancastria LLP</t>
  </si>
  <si>
    <t>Tissue Faced PIR, Tissue Faced PIR, Tissue Faced PIR, Torch On PIR</t>
  </si>
  <si>
    <t>17390</t>
  </si>
  <si>
    <t>Bartons Park, Oxford</t>
  </si>
  <si>
    <t>steadfast Constructionltd, steadfast Constructionltd, Unilin, Renolit UK Limited, Unilin, Unilin, Renolit UK Limited, Renolit UK Limited, Renolit UK Limited, Renolit UK Limited, Renolit UK Limited, Renolit UK Limited, Renolit UK Limited, Westwood Liquid Technologies Limited, Renolit UK Limited, Renolit UK Limited</t>
  </si>
  <si>
    <t>Foil Faced PIR, Foil Faced PIR, Foil Faced PIR, Foil Faced PIR, Foil Faced PIR, Foil Faced PIR, Foil Faced PIR, Foil Faced PIR, Foil Faced PIR, Foil Faced PIR, Foil Faced PIR, Foil Faced PIR, Foil Faced PIR, Tissue Faced PIR, Tissue Faced PIR, Tissue Faced PIR, Foil Faced PIR</t>
  </si>
  <si>
    <t>17387</t>
  </si>
  <si>
    <t>Applegarth, Felbridge</t>
  </si>
  <si>
    <t>AccuRoof, AccuRoof</t>
  </si>
  <si>
    <t>17383</t>
  </si>
  <si>
    <t>Plot 29 Windrush Lake, South Cerney, Gloucestershire, GL7 5TJ</t>
  </si>
  <si>
    <t>17371</t>
  </si>
  <si>
    <t>Unspecified Roof, BA</t>
  </si>
  <si>
    <t>17369</t>
  </si>
  <si>
    <t>4 Durham Place, Chelsea SW3 4ET</t>
  </si>
  <si>
    <t>Axter Limited, Axter Limited, Axter Limited, Axter Limited, Axter Limited, Axter Limited</t>
  </si>
  <si>
    <t>Tissue Faced PIR, Tissue Faced PIR, Tissue Faced PIR, Tissue Faced PIR, Tissue Faced PIR, Tissue Faced PIR</t>
  </si>
  <si>
    <t>17363</t>
  </si>
  <si>
    <t>Tyldesley Primary School</t>
  </si>
  <si>
    <t>Hera Waterproofing, Hera Waterproofing, Hera Waterproofing, Hera Waterproofing, Hera Waterproofing, Hera Waterproofing, Hera Waterproofing, Hera Waterproofing</t>
  </si>
  <si>
    <t>Torch On PIR, Torch On PIR, Torch On PIR, Torch On PIR, Tissue Faced PIR, Tissue Faced PIR, Tissue Faced PIR, Tissue Faced PIR</t>
  </si>
  <si>
    <t>17360</t>
  </si>
  <si>
    <t>Holiday Inn Fulham, W14 9NS</t>
  </si>
  <si>
    <t>Carlisle Construction Materials Ltd, Carlisle Construction Materials Ltd, Carlisle Construction Materials Ltd, Carlisle Construction Materials Ltd, Carlisle Construction Materials Ltd</t>
  </si>
  <si>
    <t>17341</t>
  </si>
  <si>
    <t>The Long House, Lidwells Lane, Cranbrook, Kent TN</t>
  </si>
  <si>
    <t>Cawston Roofing Limited, Axter Limited, Axter Limited, Axter Limited, Axter Limited, Axter Limited, Axter Limited</t>
  </si>
  <si>
    <t>Tissue Faced PIR, VIPs, Tissue Faced PIR, VIPs, Tissue Faced PIR, Tissue Faced PIR, Tissue Faced PIR, VIPs</t>
  </si>
  <si>
    <t>17338</t>
  </si>
  <si>
    <t>Pant Y Cae, Clyro, Hereford, HR3 6JU</t>
  </si>
  <si>
    <t>17318</t>
  </si>
  <si>
    <t>Canalside South, Wolverhampton</t>
  </si>
  <si>
    <t>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</si>
  <si>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 Tissue Faced PIR, Tissue Faced PIR</t>
  </si>
  <si>
    <t>17317</t>
  </si>
  <si>
    <t>30 St Marks Crescent</t>
  </si>
  <si>
    <t>Axter Limited, Axter Limited</t>
  </si>
  <si>
    <t>17313</t>
  </si>
  <si>
    <t>Wood Green School, Witney, Oxford</t>
  </si>
  <si>
    <t>Renolit UK Limited, Renolit UK Limited, Renolit UK Limited, Renolit UK Limited</t>
  </si>
  <si>
    <t>Foil Faced PIR, Foil Faced PIR, Foil Faced PIR, Foil Faced PIR</t>
  </si>
  <si>
    <t>17309</t>
  </si>
  <si>
    <t>85 Windsor Road, CB4 3JL</t>
  </si>
  <si>
    <t>Lancastria LLP, Lancastria LLP</t>
  </si>
  <si>
    <t>Torch On PIR, Water Filtration Layer, EPS 300E</t>
  </si>
  <si>
    <t>17304</t>
  </si>
  <si>
    <t>195 Richmond Road</t>
  </si>
  <si>
    <t>South Wales Single Ply Roofing Ltd, South Wales Single Ply Roofing Ltd, South Wales Single Ply Roofing Ltd, South Wales Single Ply Roofing Ltd</t>
  </si>
  <si>
    <t>17301</t>
  </si>
  <si>
    <t>HEL04 Helsinki, Finland</t>
  </si>
  <si>
    <t>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</si>
  <si>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</si>
  <si>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17300</t>
  </si>
  <si>
    <t>3 Douglas Drive, Farnham. GU10 3HP</t>
  </si>
  <si>
    <t>17289</t>
  </si>
  <si>
    <t>The Railway Tavern Public House, IP</t>
  </si>
  <si>
    <t>MAB Roofing Limited</t>
  </si>
  <si>
    <t>17284</t>
  </si>
  <si>
    <t>Leith Walk, 139 Allander House, EH6 8NP</t>
  </si>
  <si>
    <t>17268</t>
  </si>
  <si>
    <t>Weaverham Clinic, 23 Church Lane, Weaverham, Cheshire</t>
  </si>
  <si>
    <t>Hera Waterproofing, Hera Waterproofing, Hera Waterproofing, Hera Waterproofing, Hera Waterproofing, Hera Waterproofing</t>
  </si>
  <si>
    <t>Tissue Faced PIR, Torch On PIR, Tissue Faced PIR, Tissue Faced PIR, Torch On PIR, Torch On PIR</t>
  </si>
  <si>
    <t>17266</t>
  </si>
  <si>
    <t>The Catholic Church of Saint John the Baptist</t>
  </si>
  <si>
    <t>Encon Insulation Limited</t>
  </si>
  <si>
    <t>17257</t>
  </si>
  <si>
    <t>John Radcliffe Theatres</t>
  </si>
  <si>
    <t>Rockwool Limited (Bauder), Rockwool Limited (Bauder), FATRA UK LTD, FATRA UK LTD</t>
  </si>
  <si>
    <t>ROCKWOOL HardRock Multi-Fix (DD), ROCKWOOL HardRock Multi-Fix (DD), Tissue Faced PIR, Foil Faced PIR</t>
  </si>
  <si>
    <t>17255</t>
  </si>
  <si>
    <t>The Slade School of Fine Art, London, WC1E 6BT</t>
  </si>
  <si>
    <t>17252</t>
  </si>
  <si>
    <t>Taylor Street</t>
  </si>
  <si>
    <t>Galaxy Insulation And Dry Lining Limited, Galaxy Insulation And Dry Lining Limited, Galaxy Insulation And Dry Lining Limited, Galaxy Insulation And Dry Lining Limited</t>
  </si>
  <si>
    <t>Foil Faced PIR, Foil Faced PIR, Tissue Faced PIR, Tissue Faced PIR</t>
  </si>
  <si>
    <t>17249</t>
  </si>
  <si>
    <t>Haberdashers' Hall, EC1A 9HX</t>
  </si>
  <si>
    <t>Triflex (U.K.) Limited, Triflex (U.K.) Limited, Triflex (U.K.) Limited, Triflex (U.K.) Limited</t>
  </si>
  <si>
    <t>17243</t>
  </si>
  <si>
    <t>Central Foundation Girls School</t>
  </si>
  <si>
    <t>Consultancy</t>
  </si>
  <si>
    <t>17231</t>
  </si>
  <si>
    <t>1 Grange Road, Edwalton, NG</t>
  </si>
  <si>
    <t>AccuRoof, AccuRoof, AccuRoof, AccuRoof, AccuRoof, AccuRoof</t>
  </si>
  <si>
    <t>17229</t>
  </si>
  <si>
    <t>71 Burford Road, Witney, OX7</t>
  </si>
  <si>
    <t>Pentland &amp; Chandler Construction</t>
  </si>
  <si>
    <t>17226</t>
  </si>
  <si>
    <t>Parkstead House SW15</t>
  </si>
  <si>
    <t>Triflex (U.K.) Limited</t>
  </si>
  <si>
    <t>17225</t>
  </si>
  <si>
    <t>128 Rodbourne Road , Swindon, SN2 2AX</t>
  </si>
  <si>
    <t>Roofbase Limited</t>
  </si>
  <si>
    <t>17221</t>
  </si>
  <si>
    <t>Stone Pavillion, DA</t>
  </si>
  <si>
    <t>AccuRoof, AccuRoof, AccuRoof</t>
  </si>
  <si>
    <t>17220</t>
  </si>
  <si>
    <t>102 - 104 Rose Hill Sutton</t>
  </si>
  <si>
    <t>BYOOT, BYOOT, BYOOT, Protech Roofing Ltd, Lancastria LLP, BYOOT, BYOOT</t>
  </si>
  <si>
    <t>Tissue Faced PIR, Tissue Faced PIR, Tissue Faced PIR, Tissue Faced PIR, Tissue Faced PIR, Tissue Faced PIR, Tissue Faced PIR</t>
  </si>
  <si>
    <t>17218</t>
  </si>
  <si>
    <t>HMP The Mount, Bovingdon, HP3 0NZ</t>
  </si>
  <si>
    <t>Military</t>
  </si>
  <si>
    <t>Tremco CPG UK Limited, Tremco CPG UK Limited, Tremco CPG UK Limited, Tremco CPG UK Limited, Tremco CPG UK Limited, Tremco CPG UK Limited</t>
  </si>
  <si>
    <t>17217</t>
  </si>
  <si>
    <t>Gough Street, Birmingham</t>
  </si>
  <si>
    <t>Axter Limited</t>
  </si>
  <si>
    <t>17188</t>
  </si>
  <si>
    <t>Stawley Primary School, Somerset, TA</t>
  </si>
  <si>
    <t>AccuRoof, SPS Flat Roof System Ltd T/A</t>
  </si>
  <si>
    <t>17184</t>
  </si>
  <si>
    <t>Dial House, 2 Burston Road, West Putney</t>
  </si>
  <si>
    <t>Tissue Faced PIR, VIPs, Tissue Faced PIR, VIPs</t>
  </si>
  <si>
    <t>17181</t>
  </si>
  <si>
    <t>Holloway Campus, London</t>
  </si>
  <si>
    <t>Carlisle Construction Materials Ltd, Carlisle Construction Materials Ltd, Carlisle Construction Materials Ltd, RTB Roofing Limited, RTB Roofing Limited</t>
  </si>
  <si>
    <t>17175</t>
  </si>
  <si>
    <t>North Street, Guildford</t>
  </si>
  <si>
    <t>Guaranteed Asphalt Limited, Guaranteed Asphalt Limited, Guaranteed Asphalt Limited, Guaranteed Asphalt Limited, Guaranteed Asphalt Limited, Guaranteed Asphalt Limited, Guaranteed Asphalt Limited, Guaranteed Asphalt Limited, Shield Membranes Limited</t>
  </si>
  <si>
    <t>ROCKWOOL HardRock Multi-Fix (DD), ROCKDeck, ROCKWOOL HardRock Multi-Fix (DD), ROCKDeck, ROCKWOOL HardRock Multi-Fix (DD), ROCKWOOL HardRock Multi-Fix (DD), ROCKWOOL HardRock Multi-Fix (DD), ROCKWOOL HardRock Multi-Fix (DD), Tissue Faced PIR</t>
  </si>
  <si>
    <t>17172</t>
  </si>
  <si>
    <t>Dunsfold Way, Croydon</t>
  </si>
  <si>
    <t>Langley Waterproofing Systems Limited, Langley Waterproofing Systems Limited</t>
  </si>
  <si>
    <t>17163</t>
  </si>
  <si>
    <t>The So Bow Estate, 18 Mostyn Grove</t>
  </si>
  <si>
    <t>Triflex (U.K.) Limited, Triflex (U.K.) Limited, Triflex (U.K.) Limited, Triflex (U.K.) Limited, Triflex (U.K.) Limited, Triflex (U.K.) Limited, Triflex (U.K.) Limited, Triflex (U.K.) Limited, Triflex (U.K.) Limited, Triflex (U.K.) Limited, Triflex (U.K.) Limited</t>
  </si>
  <si>
    <t>Tissue Faced PIR, Tissue Faced PIR, Tissue Faced PIR, ROCKWOOL HardRock Multi-Fix (DD), ROCKWOOL HardRock Multi-Fix (DD), ROCKWOOL HardRock Multi-Fix (DD), ROCKWOOL HardRock Multi-Fix (DD), ROCKWOOL HardRock Multi-Fix (DD), ROCKWOOL HardRock Multi-Fix (DD), ROCKWOOL HardRock Multi-Fix (DD), ROCKWOOL HardRock Multi-Fix (DD)</t>
  </si>
  <si>
    <t>17162</t>
  </si>
  <si>
    <t>3 Cambridge Place, Kensington</t>
  </si>
  <si>
    <t>RTB Roofing Limited, RTB Roofing Limited</t>
  </si>
  <si>
    <t>17155</t>
  </si>
  <si>
    <t>Oakgrove, Apartment Block 9, MK</t>
  </si>
  <si>
    <t>17152</t>
  </si>
  <si>
    <t>St John's Primary School</t>
  </si>
  <si>
    <t>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</si>
  <si>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t>
  </si>
  <si>
    <t>17150</t>
  </si>
  <si>
    <t>Hammersmith Mental Health hospital, W</t>
  </si>
  <si>
    <t>17148</t>
  </si>
  <si>
    <t>The Old Mill, Reybridge, Wiltshire, SN</t>
  </si>
  <si>
    <t>ICB (Waterproofing) Ltd, Encon Insulation Limited</t>
  </si>
  <si>
    <t>17139</t>
  </si>
  <si>
    <t>Eton College - Sports Centre 2</t>
  </si>
  <si>
    <t>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</si>
  <si>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</si>
  <si>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17138</t>
  </si>
  <si>
    <t>Welland Quarter</t>
  </si>
  <si>
    <t>Mapei (UK) Limited, Mapei (UK) Limited, Mapei (UK) Limited, Mapei (UK) Limited, Mapei (UK) Limited, Mapei (UK) Limited, Mapei (UK) Limited, Mapei (UK) Limited, Mapei (UK) Limited, Mapei (UK) Limited, Mapei (UK) Limited, Mapei (UK) Limited, Mapei (UK) Limited, Mapei (UK) Limited, Mapei (UK) Limited, Mapei (UK) Limited, Mapei (UK) Limited, Mapei (UK) Limited, Mapei (UK)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</si>
  <si>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</si>
  <si>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17134</t>
  </si>
  <si>
    <t>Camberwell College of Arts - UAL Blocks C&amp;D</t>
  </si>
  <si>
    <t>Rockwool Limited (Bauder)</t>
  </si>
  <si>
    <t>ROCKWOOL HardRock Multi-Fix (DD)</t>
  </si>
  <si>
    <t>17126</t>
  </si>
  <si>
    <t>Newbury Park, Ilford - New Apartments</t>
  </si>
  <si>
    <t>Axter Limited, Axter Limited, Axter Limited, Axter Limited, Axter Limited, Axter Limited, Axter Limited, Axter Limited, Axter Limited, Axter Limited, Renolit UK Limited, Galaxy Insulation And Dry Lining Limited, Westwood Liquid Technologies Limited, Westwood Liquid Technologies Limited, Westwood Liquid Technologies Limited</t>
  </si>
  <si>
    <t>Tissue Faced PIR, Tissue Faced PIR, Tissue Faced PIR, Tissue Faced PIR, Tissue Faced PIR, Tissue Faced PIR, Tissue Faced PIR, Tissue Faced PIR, Tissue Faced PIR, Tissue Faced PIR, Foil Faced PIR, Tissue Faced PIR, Tissue Faced PIR, VIPs, Tissue Faced PIR, Tissue Faced PIR</t>
  </si>
  <si>
    <t>17124</t>
  </si>
  <si>
    <t>Springfields - Building A393</t>
  </si>
  <si>
    <t>Castle Roofing Consultants Ltd</t>
  </si>
  <si>
    <t>17122</t>
  </si>
  <si>
    <t>31 Thomas St, SE18</t>
  </si>
  <si>
    <t>Alltype Roofing Supplies Ltd, Alltype Roofing Supplies Ltd, Alltype Roofing Supplies Ltd</t>
  </si>
  <si>
    <t>Tissue Faced PIR, EPS 150 (SPR), Tissue Faced PIR, EPS 150 (SPI), Tissue Faced PIR, EPS 150 (SPI)</t>
  </si>
  <si>
    <t>17112</t>
  </si>
  <si>
    <t>Banbury Road Villas</t>
  </si>
  <si>
    <t>17105</t>
  </si>
  <si>
    <t>Westfield Road, Long Crendon</t>
  </si>
  <si>
    <t>17101</t>
  </si>
  <si>
    <t>128 Stonhouse Street</t>
  </si>
  <si>
    <t>17100</t>
  </si>
  <si>
    <t>Sprire Claremont Hospital Roof 1 &amp; 2 ,  S</t>
  </si>
  <si>
    <t>17093</t>
  </si>
  <si>
    <t>Leicester Road, Hale, Altrincham, WA</t>
  </si>
  <si>
    <t>Permaroof (UK) Limited, Permaroof (UK) Limited</t>
  </si>
  <si>
    <t>17086</t>
  </si>
  <si>
    <t>Ramsden Building, University of Huddersfield</t>
  </si>
  <si>
    <t>17085</t>
  </si>
  <si>
    <t>Debenhams store , Cardiff City centre</t>
  </si>
  <si>
    <t>Clay Construct Ltd</t>
  </si>
  <si>
    <t>17077</t>
  </si>
  <si>
    <t>Regent College</t>
  </si>
  <si>
    <t>Prokol, Prokol, Next Gen Facades Ltd, Next Gen Facades Ltd, Next Gen Facades Ltd, Next Gen Facades Ltd, Next Gen Facades Ltd, Next Gen Facades Ltd</t>
  </si>
  <si>
    <t>Torch On PIR, Torch On PIR, Tissue Faced PIR, 12.7mm CoverBoard, Tissue Faced PIR, ROCKDeck Coverboard (G-Board12.5mm), Tissue Faced PIR, Tissue Faced PIR, Tissue Faced PIR</t>
  </si>
  <si>
    <t>17076</t>
  </si>
  <si>
    <t>Davids St, DA</t>
  </si>
  <si>
    <t>G.R. Regan &amp; Son Limited, G.R. Regan &amp; Son Limited</t>
  </si>
  <si>
    <t>17074</t>
  </si>
  <si>
    <t>One Palace street SW</t>
  </si>
  <si>
    <t>Tissue Faced PIR, VIPs, Tissue Faced PIR, Tissue Faced PIR, Tissue Faced PIR, Tissue Faced PIR, Tissue Faced PIR</t>
  </si>
  <si>
    <t>17059</t>
  </si>
  <si>
    <t>Manhattan House Eastbourne</t>
  </si>
  <si>
    <t>Westwood Liquid Technologies Limited, Westwood Liquid Technologies Limited, Westwood Liquid Technologies Limited</t>
  </si>
  <si>
    <t>Tissue Faced PIR (Prebonded), Tissue Faced PIR (Prebonded), VIPs, vip</t>
  </si>
  <si>
    <t>17057</t>
  </si>
  <si>
    <t>Oldham Coliseum Theatre, Fairbottom Street, OL1 3SW</t>
  </si>
  <si>
    <t>Rockwool Limited (Bauder), Rockwool Limited (Bauder), Rockwool Limited (Bauder), Rockwool Limited (Bauder)</t>
  </si>
  <si>
    <t>ROCKWOOL HardRock Multi-Fix (DD), ROCKWOOL HardRock Multi-Fix (DD), ROCKWOOL HardRock Multi-Fix (DD), ROCKWOOL HardRock Multi-Fix (DD)</t>
  </si>
  <si>
    <t>17044</t>
  </si>
  <si>
    <t>Fulcrum Apartments, Sheffield, S</t>
  </si>
  <si>
    <t>FATRA UK LTD, FATRA UK LTD, FATRA UK LTD, FATRA UK LTD, Belgrade Insulations Limited</t>
  </si>
  <si>
    <t>ROCKDeck Coverboard, ROCKWOOL HardRock Multi-Fix (DD), T3+, ROCKDeck Coverboard, ROCKWOOL HardRock Multi-Fix (DD), ROCKDeck Coverboard (G-Board12.5mm), ROCKWOOL HardRock Multi-Fix (DD), ROCKDeck Coverboard (G-Board12.5mm), ROCKWOOL HardRock Multi-Fix (DD)</t>
  </si>
  <si>
    <t>17038</t>
  </si>
  <si>
    <t>Drake Primary School, Plymouth</t>
  </si>
  <si>
    <t>ICB (Waterproofing) Ltd, Minerva Roofing Ltd, Minerva Roofing Ltd</t>
  </si>
  <si>
    <t>Tissue Faced PIR, Torch On PIR, Tissue Faced PIR</t>
  </si>
  <si>
    <t>17034</t>
  </si>
  <si>
    <t>Les Landes Cottage</t>
  </si>
  <si>
    <t>Sarnian Roofing Limited, Sarnian Roofing Limited</t>
  </si>
  <si>
    <t>Tissue Faced PIR, Foil Faced PIR</t>
  </si>
  <si>
    <t>17032</t>
  </si>
  <si>
    <t>Minerva Works, Birmingham</t>
  </si>
  <si>
    <t>17031</t>
  </si>
  <si>
    <t>Hacylon Place, GY</t>
  </si>
  <si>
    <t>Sarnian Roofing Limited, Sarnian Roofing Limited, Sarnian Roofing Limited, Sarnian Roofing Limited</t>
  </si>
  <si>
    <t>17019</t>
  </si>
  <si>
    <t>Manor House Drive</t>
  </si>
  <si>
    <t>EPS 150 (SPR)</t>
  </si>
  <si>
    <t>17018</t>
  </si>
  <si>
    <t>2 Tattingstone Close, Farnham, GU</t>
  </si>
  <si>
    <t>17017</t>
  </si>
  <si>
    <t>St Lukes Chapel, Foulis Terrace, Chelsea</t>
  </si>
  <si>
    <t>17015</t>
  </si>
  <si>
    <t>St. Johns, Chiswick, W</t>
  </si>
  <si>
    <t>ICB (Waterproofing) Ltd, ICB (Waterproofing) Ltd, ICB (Waterproofing) Ltd</t>
  </si>
  <si>
    <t>Tissue Faced PIR, VIPs, Tissue Faced PIR, Tissue Faced PIR</t>
  </si>
  <si>
    <t>17014</t>
  </si>
  <si>
    <t>AstraZeneca Plant White Office Extension</t>
  </si>
  <si>
    <t>Tor Coatings Limited, Tor Coatings Limited, Tor Coatings Limited</t>
  </si>
  <si>
    <t>17005</t>
  </si>
  <si>
    <t>Port Loop Site F, Birmingham</t>
  </si>
  <si>
    <t>Axter Limited, Axter Limited, Axter Limited, Axter Limited, Axter Limited, Axter Limited, Axter Limited</t>
  </si>
  <si>
    <t>17002</t>
  </si>
  <si>
    <t>Belvoir Cricket Club, NG32 1RE</t>
  </si>
  <si>
    <t>Torch On PIR, Torch On PIR, EPS 150 (SPI), Torch On PIR</t>
  </si>
  <si>
    <t>17001</t>
  </si>
  <si>
    <t>Castel Primary School, Guernsey, GY5 7PH</t>
  </si>
  <si>
    <t>Sarnian Roofing Limited</t>
  </si>
  <si>
    <t>16995</t>
  </si>
  <si>
    <t>Catford Green, SE, Blocks V, W, Y</t>
  </si>
  <si>
    <t>16990</t>
  </si>
  <si>
    <t>Trinity Road, Wimbledon, SW19 8QX</t>
  </si>
  <si>
    <t>Huws Gray Ltd</t>
  </si>
  <si>
    <t>16987</t>
  </si>
  <si>
    <t>Oxen Park</t>
  </si>
  <si>
    <t>Everlast Waterproofing Limited, Walkers Waterproofing Ltd, Walkers Waterproofing Ltd</t>
  </si>
  <si>
    <t>16986</t>
  </si>
  <si>
    <t>Trinity School, Dagenham, RM</t>
  </si>
  <si>
    <t>FATRA UK LTD, Travis Perkins PLC, FATRA UK LTD, FATRA UK LTD, FATRA UK LTD, FATRA UK LTD, FATRA UK LTD, FATRA UK LTD, FATRA UK LTD, FATRA UK LTD, FATRA UK LTD, Travis Perkins PLC, Travis Perkins PLC, FATRA UK LTD, Travis Perkins Trading Company Limited, FATRA UK LTD, Chandlers  Roofing, FATRA UK LTD, Travis Perkins Trading Company Limited</t>
  </si>
  <si>
    <t>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</si>
  <si>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16982</t>
  </si>
  <si>
    <t>Torbay Hospital</t>
  </si>
  <si>
    <t>Rockwool Limited (Bauder), Rockwool Limited (Bauder), Rockwool Limited (Bauder)</t>
  </si>
  <si>
    <t>16980</t>
  </si>
  <si>
    <t>South Quay Phase 1&amp;2</t>
  </si>
  <si>
    <t>Alumasc Building Products Limited, Alumasc Building Products Limited, Alumasc Building Products Limited, Alumasc Building Products Limited, Alumasc Building Products Limited</t>
  </si>
  <si>
    <t>ROCKWOOL HardRock Multi-Fix (DD), ROCKWOOL HardRock Multi-Fix (DD), ROCKWOOL HardRock Multi-Fix (DD), ROCKWOOL HardRock Multi-Fix (DD), ROCKWOOL HardRock Multi-Fix (DD)</t>
  </si>
  <si>
    <t>16969</t>
  </si>
  <si>
    <t>Dial House, Putney</t>
  </si>
  <si>
    <t>Axter Limited, Axter Limited, Axter Limited, Axter Limited, Axter Limited, Axter Limited, Axter Limited, Axter Limited, Axter Limited, Axter Limited</t>
  </si>
  <si>
    <t>Tissue Faced PIR, Tissue Faced PIR, Tissue Faced PIR, VIPs, Tissue Faced PIR, Tissue Faced PIR, Tissue Faced PIR, Tissue Faced PIR, Tissue Faced PIR, Tissue Faced PIR, Tissue Faced PIR, VIPs</t>
  </si>
  <si>
    <t>16968</t>
  </si>
  <si>
    <t>Harris Academy - Battersea, SW</t>
  </si>
  <si>
    <t>FATRA UK LTD, FATRA UK LTD, Core Facade, Core Facade, Core Facade, Core Facade, Core Facade, Core Facade, Core Facade</t>
  </si>
  <si>
    <t>Foil Faced PIR, Foil Faced PIR, Foil Faced PIR, Foil Faced PIR, Foil Faced PIR, Foil Faced PIR, Foil Faced PIR</t>
  </si>
  <si>
    <t>16965</t>
  </si>
  <si>
    <t>Stevenage</t>
  </si>
  <si>
    <t>T &amp; T Roofing Limited, T &amp; T Roofing Limited</t>
  </si>
  <si>
    <t>16954</t>
  </si>
  <si>
    <t>93 Dovehouse Street, London, SW3 6JZ</t>
  </si>
  <si>
    <t>16940</t>
  </si>
  <si>
    <t>Elizabeth Shaw Chocolate Factory</t>
  </si>
  <si>
    <t>FATRA UK LTD, Quantum Insulation, FATRA UK LTD, FATRA UK LTD, FATRA UK LTD</t>
  </si>
  <si>
    <t>16938</t>
  </si>
  <si>
    <t>636 Southchurch Road, Southend, Essex</t>
  </si>
  <si>
    <t>Optimal Roofing Solutions Ltd, Optimal Roofing Solutions Ltd, Optimal Roofing Solutions Ltd</t>
  </si>
  <si>
    <t>Torch On PIR, XPS, Torch On PIR</t>
  </si>
  <si>
    <t>16932</t>
  </si>
  <si>
    <t>Somerset House, Bristol</t>
  </si>
  <si>
    <t>Axter Limited, ICB (Waterproofing) Ltd, 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</si>
  <si>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 Tissue Faced PIR, Tissue Faced PIR, Tissue Faced PIR, Tissue Faced PIR, Tissue Faced PIR, Tissue Faced PIR</t>
  </si>
  <si>
    <t>16926</t>
  </si>
  <si>
    <t>Vita Student Accom Strawberry Buildings, NE1 4PQ,</t>
  </si>
  <si>
    <t>Rockwool Limited (Bauder), Rockwool Limited (Bauder), Rockwool Limited (Bauder), Rockwool Limited (Bauder), Rockwool Limited (Bauder), Rockwool Limited (Bauder)</t>
  </si>
  <si>
    <t>ROCKWOOL HardRock Multi-Fix (DD), ROCKWOOL HardRock Multi-Fix (DD), ROCKWOOL HardRock Multi-Fix (DD), ROCKWOOL HardRock Multi-Fix (DD), ROCKWOOL HardRock Multi-Fix (DD), ROCKWOOL HardRock Multi-Fix (DD)</t>
  </si>
  <si>
    <t>16925</t>
  </si>
  <si>
    <t>1 Carlton Road, London</t>
  </si>
  <si>
    <t>16924</t>
  </si>
  <si>
    <t>Unspecified Roof, Dulwich</t>
  </si>
  <si>
    <t>Garhigh (Southern) Limited, GAP Roofing</t>
  </si>
  <si>
    <t>Tissue Faced PIR, EPS 150 (SPR), Tissue Faced PIR, Tissue Faced PIR, Tissue Faced PIR, EPS 150 (SPR), Tissue Faced PIR</t>
  </si>
  <si>
    <t>16921</t>
  </si>
  <si>
    <t>Pennyman Primary School, Middlesborough</t>
  </si>
  <si>
    <t>Garland, Garland, Garland</t>
  </si>
  <si>
    <t>16906</t>
  </si>
  <si>
    <t>2344 Depot, Limmerick Road, TS</t>
  </si>
  <si>
    <t>16902</t>
  </si>
  <si>
    <t>Oakgrove, Dreyer House, Milton Keynes</t>
  </si>
  <si>
    <t>16898</t>
  </si>
  <si>
    <t>Sandyford, 3 the rocks</t>
  </si>
  <si>
    <t>Kernewek roofing, Kernewek roofing</t>
  </si>
  <si>
    <t>16888</t>
  </si>
  <si>
    <t>Brentford, TW8 0QW</t>
  </si>
  <si>
    <t>Easy Clean Tile and Grout, Easy Clean Tile and Grout, Easy Clean Tile and Grout</t>
  </si>
  <si>
    <t>Tissue Faced PIR, Torch On PIR, Torch On PIR</t>
  </si>
  <si>
    <t>16857</t>
  </si>
  <si>
    <t>103 Elgin Crescent</t>
  </si>
  <si>
    <t>T3+</t>
  </si>
  <si>
    <t>16849</t>
  </si>
  <si>
    <t>East Acton Lane, Ealing, W3 7EG</t>
  </si>
  <si>
    <t>RoofPro London Ltd, RoofPro London Ltd, ICB (Waterproofing) Ltd, ICB (Waterproofing) Ltd, ICB (Waterproofing) Ltd, ICB (Waterproofing) Ltd, Rooftek Advance Limited, Rooftek Advance Limited, Rooftek Advance Limited, Rooftek Advance Limited, RoofPro London Ltd, RoofPro London Ltd, ICB (Waterproofing) Ltd, ICB (Waterproofing) Ltd, RoofPro London Ltd, RoofPro London Ltd, RoofPro London Ltd, RoofPro London Ltd, RoofPro London Ltd, RoofPro London Ltd, ICB (Waterproofing) Ltd, ICB (Waterproofing) Ltd, ICB (Waterproofing) Ltd, ICB (Waterproofing) Ltd, RoofPro London Ltd, RoofPro London Ltd, RoofPro London Ltd, ICB (Waterproofing) Ltd, ICB (Waterproofing) Ltd, ICB (Waterproofing) Ltd, ICB (Waterproofing) Ltd, RoofPro London Ltd, RoofPro London Ltd, RoofPro London Ltd, RoofPro London Ltd</t>
  </si>
  <si>
    <t>Tissue Faced PIR, Tissue Faced PIR, Tissue Faced PIR (Prebonded), Tissue Faced PIR (Prebonded), Tissue Faced PIR, Tissue Faced PIR, Tissue Faced PIR, Tissue Faced PIR, Tissue Faced PIR, Tissue Faced PIR, Tissue Faced PIR, Tissue Faced PIR, Tissue Faced PIR (Prebonded), Tissue Faced PIR (Prebonded), Tissue Faced PIR, Tissue Faced PIR, Tissue Faced PIR, Tissue Faced PIR, ROCKWOOL HardRock Multi-Fix (DD), Tissue Faced PIR, Tissue Faced PIR, ROCKWOOL HardRock Multi-Fix (DD), ROCKWOOL HardRock Multi-Fix (DD), ROCKWOOL HardRock Multi-Fix (DD), ROCKWOOL HardRock Multi-Fix (DD), Tissue Faced PIR, ROCKWOOL HardRock Multi-Fix (DD), Tissue Faced PIR, Tissue Faced PIR, Tissue Faced PIR, ROCKWOOL HardRock Multi-Fix (DD), ROCKWOOL HardRock Multi-Fix (DD), Tissue Faced PIR, ROCKWOOL HardRock Multi-Fix (DD), Tissue Faced PIR, ROCKWOOL HardRock Multi-Fix (DD), Tissue Faced PIR, Tissue Faced PIR, ROCKWOOL HardRock Multi-Fix (DD), ROCKWOOL HardRock Multi-Fix (DD), Tissue Faced PIR, Tissue Faced PIR, ROCKWOOL HardRock Multi-Fix (DD), ROCKWOOL HardRock Multi-Fix (DD), Tissue Faced PIR</t>
  </si>
  <si>
    <t>16840</t>
  </si>
  <si>
    <t>109 Dunstable Street</t>
  </si>
  <si>
    <t>Galaxy Insulation And Dry Lining Limited, Belgrade Insulations Limited, Belgrade Insulations Limited, Galaxy Insulation And Dry Lining Limited, Galaxy Insulation And Dry Lining Limited</t>
  </si>
  <si>
    <t>16832</t>
  </si>
  <si>
    <t>Priests Bridge</t>
  </si>
  <si>
    <t>ICB (Waterproofing) Ltd, ICB (Waterproofing) Ltd, ICB (Waterproofing) Ltd, ICB (Waterproofing) Ltd, Rockwool Limited, Rockwool Limited, ICB (Waterproofing) Ltd, ICB (Waterproofing) Ltd, ICB (Waterproofing) Ltd, ICB (Waterproofing) Ltd, ICB (Waterproofing) Ltd, ICB (Waterproofing) Ltd, ICB (Waterproofing) Ltd, ICB (Waterproofing) Ltd, ICB (Waterproofing) Ltd, ICB (Waterproofing) Ltd, ICB (Waterproofing) Ltd</t>
  </si>
  <si>
    <t>ROCKWOOL HardRock Multi-Fix (DD), ROCKWOOL HardRock Multi-Fix (DD), ROCKWOOL HardRock Multi-Fix (DD), ROCKWOOL HardRock Multi-Fix (DD), ROCKWOOL HardRock Multi-Fix (DD), ROCKWOOL HardRock Multi-Fix (DD), ROCKWOOL HardRock Multi-Fix (DD), ROCKWOOL HardRock Multi-Fix (DD), Tissue Faced PIR, Tissue Faced PIR, Tissue Faced PIR, Tissue Faced PIR, Tissue Faced PIR, Tissue Faced PIR, Tissue Faced PIR, Tissue Faced PIR, Tissue Faced PIR</t>
  </si>
  <si>
    <t>16821</t>
  </si>
  <si>
    <t>Project STAR, Clacton On Sea, CO15 1LH</t>
  </si>
  <si>
    <t>Rockwool Limited (Bauder), Rockwool Limited (Bauder), Rockwool Limited (Bauder), Rockwool Limited (Bauder), Rockwool Limited (Bauder)</t>
  </si>
  <si>
    <t>16820</t>
  </si>
  <si>
    <t>97 Valley Road, Rickmansworth WD3 4BL</t>
  </si>
  <si>
    <t>Optimal Roofing Solutions Ltd, Optimal Roofing Solutions Ltd, Optimal Roofing Solutions Ltd, Optimal Roofing Solutions Ltd, Optimal Roofing Solutions Ltd</t>
  </si>
  <si>
    <t>16818</t>
  </si>
  <si>
    <t>34 Elder Road, SE27 9ND</t>
  </si>
  <si>
    <t>16810</t>
  </si>
  <si>
    <t>Rosefield House, CB</t>
  </si>
  <si>
    <t>16793</t>
  </si>
  <si>
    <t>Nottingham gutter, NG</t>
  </si>
  <si>
    <t>Sothall Roofing Specialists Limited, Sothall Roofing Specialists Limited</t>
  </si>
  <si>
    <t>16791</t>
  </si>
  <si>
    <t>Switch House HP</t>
  </si>
  <si>
    <t>Moy Materials (UK) Limited, Moy Materials (UK) Limited, Moy Materials (UK) Limited, Moy Materials (UK) Limited, Moy Materials (UK) Limited, Moy Materials (UK) Limited, Moy Materials (UK) Limited, Moy Materials (UK) Limited</t>
  </si>
  <si>
    <t>ROCKWOOL HardRock Multi-Fix (DD), ROCKWOOL HardRock Multi-Fix (DD), ROCKWOOL HardRock Multi-Fix (DD), ROCKWOOL HardRock Multi-Fix (DD), ROCKWOOL HardRock Multi-Fix (DD), ROCKWOOL HardRock Multi-Fix (DD), ROCKWOOL HardRock Multi-Fix (DD), ROCKWOOL HardRock Multi-Fix (DD)</t>
  </si>
  <si>
    <t>16788</t>
  </si>
  <si>
    <t>North Place, Cheltenham</t>
  </si>
  <si>
    <t>16787</t>
  </si>
  <si>
    <t>Romney Avenue</t>
  </si>
  <si>
    <t>Tissue Faced PIR, Tissue Faced PIR, Tissue Faced PIR, Tissue Faced PIR, ROCKWOOL HardRock Multi-Fix (DD), Tissue Faced PIR, ROCKWOOL HardRock Multi-Fix (DD), Tissue Faced PIR, ROCKWOOL HardRock Multi-Fix (DD), Tissue Faced PIR, ROCKWOOL HardRock Multi-Fix (DD), Tissue Faced PIR, Tissue Faced PIR</t>
  </si>
  <si>
    <t>16786</t>
  </si>
  <si>
    <t>Rowley Regis Hospital</t>
  </si>
  <si>
    <t>16777</t>
  </si>
  <si>
    <t>Oldham Library, Link Bridge</t>
  </si>
  <si>
    <t>16750</t>
  </si>
  <si>
    <t>Garden Cottage, Chantry Street, DT6 5NB</t>
  </si>
  <si>
    <t>ICB (Waterproofing) Ltd, ICB (Waterproofing) Ltd</t>
  </si>
  <si>
    <t>16731</t>
  </si>
  <si>
    <t>28-34 Queensway</t>
  </si>
  <si>
    <t>Vabel Projects Limited, Vabel Projects Limited, Vabel Projects Limited, Vabel Projects Limited, Vabel Projects Limited, Carlisle Construction Materials Ltd, Vabel Projects Limited, Vabel Projects Limited, Vabel Projects Limited, Vabel Projects Limited, Vabel Projects Limited</t>
  </si>
  <si>
    <t>Foil Faced PIR, Tissue Faced PIR, Foil Faced PIR, Tissue Faced PIR, Glue, Tissue Faced PIR, Tissue Faced PIR, Tissue Faced PIR, Tissue Faced PIR, Tissue Faced PIR, Tissue Faced PIR</t>
  </si>
  <si>
    <t>16730</t>
  </si>
  <si>
    <t>130-134 New Bond Street</t>
  </si>
  <si>
    <t>Triflex (U.K.) Limited, Triflex (U.K.) Limited, Triflex (U.K.) Limited, Triflex (U.K.) Limited, Triflex (U.K.) Limited, Triflex (U.K.) Limited, Triflex (U.K.) Limited, Triflex (U.K.) Limited, Triflex (U.K.) Limited, Triflex (U.K.) Limited, Triflex (U.K.) Limited, Triflex (U.K.) Limited, Triflex (U.K.) Limited, Triflex (U.K.) Limited, Triflex (U.K.) Limited, Triflex (U.K.) Limited, Triflex (U.K.) Limited, Triflex (U.K.) Limited, Triflex (U.K.) Limited, Triflex (U.K.) Limited</t>
  </si>
  <si>
    <t>Tissue Faced PIR, VIPs, Tissue Faced PIR, VIPs, Tissue Faced PIR, VIPs, Tissue Faced PIR, Tissue Faced PIR, Tissue Faced PIR, Tissue Faced PIR, Tissue Faced PIR, Tissue Faced PIR, Tissue Faced PIR, Tissue Faced PIR, Tissue Faced PIR, Tissue Faced PIR, Tissue Faced PIR, Tissue Faced PIR, Tissue Faced PIR, Tissue Faced PIR</t>
  </si>
  <si>
    <t>16718</t>
  </si>
  <si>
    <t>10 Melina Place, St Johns Wood</t>
  </si>
  <si>
    <t>Cawston Roofing Limited, Cawston Roofing Limited, Cawston Roofing Limited, Cawston Roofing Limited</t>
  </si>
  <si>
    <t>16716</t>
  </si>
  <si>
    <t>Burnstump Seely C of E Academy</t>
  </si>
  <si>
    <t>Mapei (UK) Limited, Roofbase Limited, Roofbase Limited</t>
  </si>
  <si>
    <t>Torch On PIR (Prebonded), Torch On PIR, Torch On PIR</t>
  </si>
  <si>
    <t>16714</t>
  </si>
  <si>
    <t>North Downs Road Croydon</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</si>
  <si>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</si>
  <si>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Tissue Faced PIR, ROCKWOOL HardRock Multi-Fix (DD), Tissue Faced PIR, Tissue Faced PIR, ROCKWOOL HardRock Multi-Fix (DD), Tissue Faced PIR, Tissue Faced PIR, Tissue Faced PIR, Tissue Faced PIR</t>
  </si>
  <si>
    <t>16713</t>
  </si>
  <si>
    <t>Rixon Road, Wellingborough</t>
  </si>
  <si>
    <t>Premier Roofing Systems LTD, Premier Roofing Systems LTD</t>
  </si>
  <si>
    <t>16706</t>
  </si>
  <si>
    <t>North Downs Crescent, Croydon</t>
  </si>
  <si>
    <t>Tissue Faced PIR, ROCKWOOL HardRock Multi-Fix (DD), ROCKWOOL HardRock Multi-Fix (DD), ROCKWOOL HardRock Multi-Fix (DD), ROCKWOOL HardRock Multi-Fix (DD), ROCKWOOL HardRock Multi-Fix (DD), Tissue Faced PIR, Tissue Faced PIR, Tissue Faced PIR</t>
  </si>
  <si>
    <t>16697</t>
  </si>
  <si>
    <t>Superdrug, NG</t>
  </si>
  <si>
    <t>16685</t>
  </si>
  <si>
    <t>Gotham Hotel</t>
  </si>
  <si>
    <t>Urban Roof</t>
  </si>
  <si>
    <t>16682</t>
  </si>
  <si>
    <t>The Old Rectory School, RM</t>
  </si>
  <si>
    <t>Chandlers  Roofing, Chandlers  Roofing</t>
  </si>
  <si>
    <t>16679</t>
  </si>
  <si>
    <t>Strand Saundersfoot, SA</t>
  </si>
  <si>
    <t>Coastbuild Ltd</t>
  </si>
  <si>
    <t>16677</t>
  </si>
  <si>
    <t>14 Douro Place</t>
  </si>
  <si>
    <t>16668</t>
  </si>
  <si>
    <t>Bryson's Animal Shelter, Gateshead NE</t>
  </si>
  <si>
    <t>M.Markovitz Limited, M.Markovitz Limited, M.Markovitz Limited, M.Markovitz Limited, M.Markovitz Limited</t>
  </si>
  <si>
    <t>Tissue Faced PIR, Foil Faced PIR, Foil Faced PIR, Foil Faced PIR, Foil Faced PIR</t>
  </si>
  <si>
    <t>16650</t>
  </si>
  <si>
    <t>10B Shepherd's Bush Road</t>
  </si>
  <si>
    <t>16642</t>
  </si>
  <si>
    <t>Budock Vean Lane, Mawnan Smith</t>
  </si>
  <si>
    <t>Roofbase Limited, Roofbase Limited, Roofbase Limited, Roofbase Limited</t>
  </si>
  <si>
    <t>16635</t>
  </si>
  <si>
    <t>The Catford Constitutional Club</t>
  </si>
  <si>
    <t>Construction Services East London Limited, Chandlers  Roofing</t>
  </si>
  <si>
    <t>16631</t>
  </si>
  <si>
    <t>Coventry CDC Roof</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</si>
  <si>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</si>
  <si>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ROCKWOOL HardRock Multi-Fix (DD),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</si>
  <si>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16608</t>
  </si>
  <si>
    <t>Arnold Road, LONDON E3 4NT</t>
  </si>
  <si>
    <t>16602</t>
  </si>
  <si>
    <t>519-527 Gale Street, Dagenham, RM</t>
  </si>
  <si>
    <t>Apex Roofers Ltd, Chandlers  Roofing</t>
  </si>
  <si>
    <t>16597</t>
  </si>
  <si>
    <t>Anoopam Mission, Crematorium, The Lea, Denham</t>
  </si>
  <si>
    <t>Gribben Roofing Ltd, Protan (UK) Ltd, Protan (UK) Ltd, Protan (UK) Ltd, Protan (UK) Ltd, Protan (UK) Ltd, Protan (UK) Ltd, Protan (UK) Ltd, Protan (UK) Ltd, Protan (UK) Ltd</t>
  </si>
  <si>
    <t>Tissue Faced PIR, Foil Faced PIR, Foil Faced PIR, Foil Faced PIR, Foil Faced PIR, Foil Faced PIR, Foil Faced PIR, Foil Faced PIR, Foil Faced PIR, Foil Faced PIR</t>
  </si>
  <si>
    <t>16574</t>
  </si>
  <si>
    <t>Aldi, Old Kent Road, London, SE15 1NQ</t>
  </si>
  <si>
    <t>Tissue Faced PIR, Torch On PIR, Torch On PIR, Torch On PIR</t>
  </si>
  <si>
    <t>16556</t>
  </si>
  <si>
    <t>Fanshaw House, London N1 6HX</t>
  </si>
  <si>
    <t>Rockwool Limited, Apex Roofers Ltd, Apex Roofers Ltd, Chandlers  Roofing, Chandlers  Roofing, Rockwool Limited, Rockwool Limited, Chandlers  Roofing, Chandlers  Roofing, Chandlers  Roofing</t>
  </si>
  <si>
    <t>ROCKWOOL HardRock Multi-Fix (DD), Foil Faced PIR, ROCKWOOL HardRock Multi-Fix (DD), ROCKDeck Coverboard (G-Board12.5mm), Foil Faced PIR, ROCKWOOL HardRock Multi-Fix (DD), ROCKDeck, ROCKWOOL HardRock Multi-Fix (DD), ROCKWOOL HardRock Multi-Fix (DD), ROCKWOOL HardRock Multi-Fix (DD), ROCKWOOL HardRock Multi-Fix (DD), ROCKDeck, Foil Faced PIR</t>
  </si>
  <si>
    <t>16552</t>
  </si>
  <si>
    <t>CWL01 Admin Roof</t>
  </si>
  <si>
    <t>16548</t>
  </si>
  <si>
    <t>Kinsham House, Tewkesbury, Gloucestershire, GL20 8HP</t>
  </si>
  <si>
    <t>16539</t>
  </si>
  <si>
    <t>Sorrel House Respite Centre</t>
  </si>
  <si>
    <t>16535</t>
  </si>
  <si>
    <t>The Heys School, Prestwich, Manchester M</t>
  </si>
  <si>
    <t>Garland, Garland, Garland, Garland</t>
  </si>
  <si>
    <t>Torch On PIR (Prebonded), Torch On PIR, Torch On PIR (Prebonded), Tissue Faced PIR</t>
  </si>
  <si>
    <t>16519</t>
  </si>
  <si>
    <t>St. Mary's &amp; Michael's School</t>
  </si>
  <si>
    <t>Roofbase Limited, Roofbase Limited, Roofbase Limited</t>
  </si>
  <si>
    <t>16506</t>
  </si>
  <si>
    <t>5-9 Surrey Street</t>
  </si>
  <si>
    <t>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</si>
  <si>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Torch On PIR, Torch On PIR, Torch On PIR, Torch On PIR, Torch On PIR, Torch On PIR, Torch On PIR, Torch On PIR, Torch On PIR, Torch On PIR, Torch On PIR, Torch On PIR, Torch On PIR, ROCKWOOL HardRock Multi-Fix (DD), Torch On PIR, Torch On PIR, ROCKWOOL HardRock Multi-Fix (DD), Torch On PIR, Torch On PIR, ROCKWOOL HardRock Multi-Fix (DD), ROCKWOOL HardRock Multi-Fix (DD), ROCKWOOL HardRock Multi-Fix (DD), ROCKWOOL HardRock Multi-Fix (DD), ROCKWOOL HardRock Multi-Fix (DD), Torch On PIR, Torch On PIR, Torch On PIR, ROCKWOOL HardRock Multi-Fix (DD), Torch On PIR, ROCKWOOL HardRock Multi-Fix (DD), ROCKWOOL HardRock Multi-Fix (DD), ROCKWOOL HardRock Multi-Fix (DD)</t>
  </si>
  <si>
    <t>16504</t>
  </si>
  <si>
    <t>38 Camden Park, BR</t>
  </si>
  <si>
    <t>G.R. Regan &amp; Son Limited</t>
  </si>
  <si>
    <t>16496</t>
  </si>
  <si>
    <t>Grove, Lucaswood</t>
  </si>
  <si>
    <t>16486</t>
  </si>
  <si>
    <t>The Hood Building LE65 1BR</t>
  </si>
  <si>
    <t>16471</t>
  </si>
  <si>
    <t>Arlington road terrace, NW</t>
  </si>
  <si>
    <t>Produk Limited</t>
  </si>
  <si>
    <t>16438</t>
  </si>
  <si>
    <t>Summerleaze, Alderley, GL12 7QT</t>
  </si>
  <si>
    <t>VIPs, Tissue Faced PIR, Tissue Faced PIR</t>
  </si>
  <si>
    <t>16429</t>
  </si>
  <si>
    <t>276 Fulwood Road, Sheffield</t>
  </si>
  <si>
    <t>SIG Trading Limited, AccuRoof</t>
  </si>
  <si>
    <t>16426</t>
  </si>
  <si>
    <t>Sutton College Hospital, Sutton SM2 5NF</t>
  </si>
  <si>
    <t>ICB (Waterproofing) Ltd, ICB (Waterproofing) Ltd, ICB (Waterproofing) Ltd, ICB (Waterproofing) Ltd, ICB (Waterproofing) Ltd, ICB (Waterproofing) Ltd, ICB (Waterproofing) Ltd, ICB (Waterproofing) Ltd, ICB (Waterproofing) Ltd, ICB (Waterproofing) Ltd, ICB (Waterproofing) Ltd, ICB (Waterproofing) Ltd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</si>
  <si>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</si>
  <si>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16411</t>
  </si>
  <si>
    <t>Lostock</t>
  </si>
  <si>
    <t>CCF Limited, Rockwool Limited, Rockwool Limited, Rockwool Limited, Rockwool Limited</t>
  </si>
  <si>
    <t>16399</t>
  </si>
  <si>
    <t>52 Holmdene Avenue SE24 9LE</t>
  </si>
  <si>
    <t>Tissue Faced PIR (Prebonded), Tissue Faced PIR</t>
  </si>
  <si>
    <t>16385</t>
  </si>
  <si>
    <t>Mulbery Park</t>
  </si>
  <si>
    <t>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</si>
  <si>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 Tissue Faced PIR, Tissue Faced PIR, Tissue Faced PIR, Tissue Faced PIR</t>
  </si>
  <si>
    <t>16375</t>
  </si>
  <si>
    <t>Lancaster University, Net Zero Energy Centre, Lancaster, LA1 4YW</t>
  </si>
  <si>
    <t>16355</t>
  </si>
  <si>
    <t>New Look Roof, The Glades, Bromley, Kent, BR1 1DN</t>
  </si>
  <si>
    <t>16352</t>
  </si>
  <si>
    <t>56 Deer View LE6 0AL</t>
  </si>
  <si>
    <t>Westwood Liquid Technologies Limited, Westwood Liquid Technologies Limited, Westwood Liquid Technologies Limited, Westwood Liquid Technologies Limited, Westwood Liquid Technologies Limited</t>
  </si>
  <si>
    <t>Tissue Faced PIR (Prebonded), VIPs, VIPs, VIPs, Tissue Faced PIR</t>
  </si>
  <si>
    <t>16343</t>
  </si>
  <si>
    <t>The Foley Arms, Great Malvern WR</t>
  </si>
  <si>
    <t>Triflex (U.K.) Limited, Triflex (U.K.) Limited, Triflex (U.K.) Limited, Triflex (U.K.) Limited, Triflex (U.K.) Limited, Triflex (U.K.) Limited</t>
  </si>
  <si>
    <t>VIPs, VIPs, VIPs, Tissue Faced PIR, VIPs, Tissue Faced PIR</t>
  </si>
  <si>
    <t>16336</t>
  </si>
  <si>
    <t>Blacksole Farm, Herne Bay</t>
  </si>
  <si>
    <t>Axter Limited, Axter Limited, AccuRoof, AccuRoof, AccuRoof, AccuRoof, AccuRoof, AccuRoof, AccuRoof, AccuRoof, AccuRoof, AccuRoof, AccuRoof</t>
  </si>
  <si>
    <t>Tissue Faced PIR, Tissue Faced PIR, Torch On PIR, Torch On PIR, Tissue Faced PIR, Tissue Faced PIR, Torch On PIR, Torch On PIR, Torch On PIR, Torch On PIR, Torch On PIR, Torch On PIR, Torch On PIR, Tissue Faced PIR</t>
  </si>
  <si>
    <t>16322</t>
  </si>
  <si>
    <t>12 church walk,  Brentford, TW</t>
  </si>
  <si>
    <t>Garhigh (Southern) Limited, Garhigh (Southern) Limited</t>
  </si>
  <si>
    <t>16290</t>
  </si>
  <si>
    <t>8-13, 14-49 Polesdon Gardens, SW20 0UN</t>
  </si>
  <si>
    <t>SS Waterproofing, SS Waterproofing, Prokol, Prokol, Prokol, Prokol, Prokol, Razanta Group Limited, Razanta Group Limited, Razanta Group Limited, Razanta Group Limited, Razanta Group Limited, Razanta Group Limited, Razanta Group Limited, Razanta Group Limited, Razanta Group Limited, Razanta Group Limited, Razanta Group Limited, Razanta Group Limited, Razanta Group Limited, Razanta Group Limited, Razanta Group Limited</t>
  </si>
  <si>
    <t>Foil Faced PIR, Foil Faced PIR, Tissue Faced PIR, Tissue Faced PIR, Torch On PIR, Torch On PIR, Foil Faced PIR, Foil Faced PIR, Foil Faced PIR, Foil Faced PIR, Foil Faced PIR, Tissue Faced PIR, Tissue Faced PIR, Tissue Faced PIR, Glue, Tissue Faced PIR, Tissue Faced PIR, Tissue Faced PIR, Tissue Faced PIR, Tissue Faced PIR, Tissue Faced PIR</t>
  </si>
  <si>
    <t>16262</t>
  </si>
  <si>
    <t>13 Grassfield Way, Knutsford</t>
  </si>
  <si>
    <t>DHL Roofing</t>
  </si>
  <si>
    <t>16252</t>
  </si>
  <si>
    <t>Mothercare Place, Watford, WD</t>
  </si>
  <si>
    <t>16231</t>
  </si>
  <si>
    <t>Abbey Road, Oldbury, B</t>
  </si>
  <si>
    <t>16229</t>
  </si>
  <si>
    <t>96 Yoakley Road</t>
  </si>
  <si>
    <t>16</t>
  </si>
  <si>
    <t>16214</t>
  </si>
  <si>
    <t>Friar Gate, Derby</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</si>
  <si>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</si>
  <si>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</si>
  <si>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16210</t>
  </si>
  <si>
    <t>Hillside Health Centre</t>
  </si>
  <si>
    <t>16204</t>
  </si>
  <si>
    <t>One Eastside Tower B</t>
  </si>
  <si>
    <t>Tissue Faced PIR, Tissue Faced PIR, Tissue Faced PIR, Tissue Faced PIR, Tissue Faced PIR, VIPs, Water Filtration Layer, XPS</t>
  </si>
  <si>
    <t>16196</t>
  </si>
  <si>
    <t>1 Bellevue Terrace, Southampton</t>
  </si>
  <si>
    <t>16184</t>
  </si>
  <si>
    <t>St Nicholas and St Mary CE Primary School</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</si>
  <si>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</si>
  <si>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16169</t>
  </si>
  <si>
    <t>17 The Courts, Warrick Road, Banbury</t>
  </si>
  <si>
    <t>Global Southern Limited T/A Kingsgate, Global Southern Limited T/A Kingsgate, Global Southern Limited T/A Kingsgate</t>
  </si>
  <si>
    <t>16165</t>
  </si>
  <si>
    <t>Bury Police Station, BL9 0RD</t>
  </si>
  <si>
    <t>Garland, Garland, Garland, Garland, Garland, Garland, Garland, Garland</t>
  </si>
  <si>
    <t>Torch On PIR (Prebonded), Torch On PIR (Prebonded), Torch On PIR (Prebonded), Torch On PIR (Prebonded), Torch On PIR (Prebonded), Torch On PIR (Prebonded), Torch On PIR (Prebonded), Torch On PIR (Prebonded)</t>
  </si>
  <si>
    <t>16150</t>
  </si>
  <si>
    <t>Sandwell Valley Crematorium</t>
  </si>
  <si>
    <t>Tremco CPG UK Limited, Tremco CPG UK Limited, Tremco CPG UK Limited</t>
  </si>
  <si>
    <t>Tissue Faced PIR (Prebonded), Tissue Faced PIR, Tissue Faced PIR (Prebonded)</t>
  </si>
  <si>
    <t>16131</t>
  </si>
  <si>
    <t>Garth Rd, TN</t>
  </si>
  <si>
    <t>16130</t>
  </si>
  <si>
    <t>36 Tabernacle Street, EC2A 4DT</t>
  </si>
  <si>
    <t>Chandlers  Roofing, Chandlers  Roofing, Chandlers  Roofing, Chandlers  Roofing</t>
  </si>
  <si>
    <t>16127</t>
  </si>
  <si>
    <t>St John's Studio</t>
  </si>
  <si>
    <t>FATRA UK LTD, Axter Limited, Able Waterproofing Limited, Axter Limited, FATRA UK LTD, FATRA UK LTD, FATRA UK LTD, Chandlers  Roofing, Chandlers  Roofing</t>
  </si>
  <si>
    <t>Tissue Faced PIR, Tissue Faced PIR, Tissue Faced PIR, Tissue Faced PIR, Tissue Faced PIR, Tissue Faced PIR, Tissue Faced PIR, Tissue Faced PIR</t>
  </si>
  <si>
    <t>16125</t>
  </si>
  <si>
    <t>Pure Data Centre EC01</t>
  </si>
  <si>
    <t>Moy Materials (UK) Limited, Moy Materials (UK) Limited</t>
  </si>
  <si>
    <t>16110</t>
  </si>
  <si>
    <t>Walnit Lawn Villa Plant Room</t>
  </si>
  <si>
    <t>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</si>
  <si>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</si>
  <si>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16106</t>
  </si>
  <si>
    <t>St Francis Xavier College SW12 8EN</t>
  </si>
  <si>
    <t>Garland, Garland, Garland, Garland, Garland, Garland, Garland, Garland, Garland, Garland, Garland, Garland, Garland, Garland, Garland, Garland, Garland</t>
  </si>
  <si>
    <t>Torch On PIR (Prebonded), Tissue Faced PIR, Tissue Faced PIR, Tissue Faced PIR, Tissue Faced PIR, Torch On PIR (Prebonded), Tissue Faced PIR, Tissue Faced PIR, Tissue Faced PIR, Tissue Faced PIR, Tissue Faced PIR, Tissue Faced PIR, Tissue Faced PIR, Tissue Faced PIR, Tissue Faced PIR, Tissue Faced PIR, Tissue Faced PIR</t>
  </si>
  <si>
    <t>16098</t>
  </si>
  <si>
    <t>Horseshoe Island, Oxford Road, OX29 4DU</t>
  </si>
  <si>
    <t>Rockwool Limited, Rockwool Limited</t>
  </si>
  <si>
    <t>16083</t>
  </si>
  <si>
    <t>Egger, Hexham, NE46</t>
  </si>
  <si>
    <t>Roofclad Systems Ltd, Tyne Insulation Supplies LTD, Roofclad Systems Ltd, Roofclad Systems Ltd</t>
  </si>
  <si>
    <t>ROCKWOOL HardRock Multi-Fix (DD), ROCKWOOL HardRock Multi-Fix (DD), ROCKDeck, Tissue Faced PIR</t>
  </si>
  <si>
    <t>16076</t>
  </si>
  <si>
    <t>Penleigh House BA13 4EB</t>
  </si>
  <si>
    <t>ICB (Waterproofing) Ltd, ICB (Waterproofing) Ltd, ICB (Waterproofing) Ltd, ICB (Waterproofing) Ltd, ICB (Waterproofing) Ltd, ICB (Waterproofing) Ltd</t>
  </si>
  <si>
    <t>16067</t>
  </si>
  <si>
    <t>28 Bruton Street</t>
  </si>
  <si>
    <t>M &amp; J Services Ltd, M &amp; J  Services - Roofing Supplies, M &amp; J  Services - Roofing Supplies, M &amp; J  Services - Roofing Supplies, M &amp; J  Services - Roofing Supplies, Travis Perkins PLC, M &amp; J  Services - Roofing Supplies, M &amp; J  Services - Roofing Supplies, M &amp; J Group (Construction &amp; Roofing) Ltd</t>
  </si>
  <si>
    <t>Roofblock G1T3+, ROCKWOOL HardRock Multi-Fix (DD), Roofblock G1T3+, Roofblock G1T3+, ROCKWOOL HardRock Multi-Fix (DD), Roofblock G1T3+, Roofblock G1T3+, ROCKWOOL HardRock Multi-Fix (DD), Roofblock G1T3+</t>
  </si>
  <si>
    <t>16055</t>
  </si>
  <si>
    <t>Salisbury Museum</t>
  </si>
  <si>
    <t>16054</t>
  </si>
  <si>
    <t>89A Broadway, West Ealing, W13</t>
  </si>
  <si>
    <t>Tremco CPG UK Limited, Tremco CPG UK Limited, Tremco CPG UK Limited, Tremco CPG UK Limited, Tremco CPG UK Limited</t>
  </si>
  <si>
    <t>Torch On PIR, Tissue Faced PIR, Tissue Faced PIR, Tissue Faced PIR, Tissue Faced PIR</t>
  </si>
  <si>
    <t>16017</t>
  </si>
  <si>
    <t>17-21 Clumber Avenue, NG</t>
  </si>
  <si>
    <t>Thomas Cassie &amp; Sons (Leicester) Ltd, AccuRoof, AccuRoof</t>
  </si>
  <si>
    <t>Tissue Faced PIR, Tissue Faced PIR, EPS/PIR Tissue Faced</t>
  </si>
  <si>
    <t>16014</t>
  </si>
  <si>
    <t>Monifieth High School, DD</t>
  </si>
  <si>
    <t>Rockwool Limited (Bauder), Rockwool Limited (Bauder), Rockwool Limited (Bauder), Rockwool Limited (Bauder), Rockwool Limited (Bauder), Rockwool Limited (Bauder), Rockwool Limited (Bauder)</t>
  </si>
  <si>
    <t>ROCKWOOL HardRock Multi-Fix (DD), ROCKWOOL HardRock Multi-Fix (DD), ROCKWOOL HardRock Multi-Fix (DD), ROCKWOOL HardRock Multi-Fix (DD), ROCKWOOL HardRock Multi-Fix (DD), ROCKWOOL HardRock Multi-Fix (DD), ROCKWOOL HardRock Multi-Fix (DD)</t>
  </si>
  <si>
    <t>16005</t>
  </si>
  <si>
    <t>Former Market Hall, Bromsgrove</t>
  </si>
  <si>
    <t>Axter Limited, ICB (Waterproofing) Ltd, Axter Limited</t>
  </si>
  <si>
    <t>Tissue Faced PIR, Tissue Faced PIR (Prebonded), Tissue Faced PIR</t>
  </si>
  <si>
    <t>16002</t>
  </si>
  <si>
    <t>127 High St, Eton, SL</t>
  </si>
  <si>
    <t>Georgian Roofing Ltd, Georgian Roofing Ltd, Georgian Roofing Ltd, Georgian Roofing Ltd</t>
  </si>
  <si>
    <t>15989</t>
  </si>
  <si>
    <t>Clean Cow KA24 5JJ</t>
  </si>
  <si>
    <t>15979</t>
  </si>
  <si>
    <t>7 Shire Hil, Saffron Walden, CB11 3AQ</t>
  </si>
  <si>
    <t>MAB Roofing Limited, MAB Roofing Limited, MAB Roofing Limited, MAB Roofing Limited</t>
  </si>
  <si>
    <t>15972</t>
  </si>
  <si>
    <t>Hallsville Quater - Pop Up Podium Roof</t>
  </si>
  <si>
    <t>15971</t>
  </si>
  <si>
    <t>Infinity</t>
  </si>
  <si>
    <t>15961</t>
  </si>
  <si>
    <t>Millfields Community School</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</si>
  <si>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</si>
  <si>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15952</t>
  </si>
  <si>
    <t>Hurstbourne Pool House, HP</t>
  </si>
  <si>
    <t>Stark Building Materials UK Limited, Stark Building Materials UK Limited, Stark Building Materials UK Limited</t>
  </si>
  <si>
    <t>15943</t>
  </si>
  <si>
    <t>Sharpitlaw House, Kelso, TD5 7PZ</t>
  </si>
  <si>
    <t>Studio DUB, Studio DUB, Orlight</t>
  </si>
  <si>
    <t>15930</t>
  </si>
  <si>
    <t>Wickside, Hepscott Road</t>
  </si>
  <si>
    <t>Widopan Limited, Axter Limited, Axter Limited, Axter Limited, Axter Limited, Axter Limited, Axter Limited, Axter Limited, Axter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Guaranteed Asphalt Limited, Axter Limited, Axter Limited, Axter Limited, Axter Limited, Widopan Limited, Widopan Limited, Widopan Limited, Widopan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</si>
  <si>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ROCKWOOL HardRock Multi-Fix (DD), Tissue Faced PIR, Tissue Faced PIR, Tissue Faced PIR, Tissue Faced PIR, ROCKWOOL HardRock Multi-Fix (DD), ROCKWOOL HardRock Multi-Fix (DD), ROCKWOOL HardRock Multi-Fix (DD), Torch On PIR, EPS / PIR Torch On, Torch On PIR, Torch On PIR, EPS 150 (SPR), Torch On PIR, EPS / PIR Torch On, EPS 150 (SPR), EPS 150 (SPR), EPS 150 (SPR), EPS 150 (SPR), EPS / PIR Torch On, EPS / PIR Torch On, Torch On PIR, EPS / PIR Torch On, Torch On PIR, Torch On PIR, Torch On PIR, Torch On PIR, Torch On PIR, Tissue Faced PIR, Tissue Faced PIR, Tissue Faced PIR, Tissue Faced PIR, Torch On PIR, Torch On PIR, Torch On PIR, Torch On PIR, Torch On PIR, Torch On PIR, Torch On PIR, Torch On PIR, Torch On PIR, Torch On PIR, Torch On PIR, Torch On PIR, Torch On PIR, Torch On PIR, Torch On PIR, Torch On PIR, Torch On PIR, Torch On PIR, Torch On PIR, Torch On PIR, Torch On PIR, Tissue Faced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ROCKWOOL HardRock Multi-Fix (DD), Torch On PIR, Tissue Faced PIR, Torch On PIR, Torch On PIR, Tissue Faced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t>
  </si>
  <si>
    <t>15923</t>
  </si>
  <si>
    <t>Wilberforce College, Hull, HU8 9HD</t>
  </si>
  <si>
    <t>Garland, Garland, Garland, Garland, Garland, Garland, Garland, Garland, Garland</t>
  </si>
  <si>
    <t>Torch On PIR, Torch On PIR, Torch On PIR, Torch On PIR</t>
  </si>
  <si>
    <t>15916</t>
  </si>
  <si>
    <t>Royal Mail Crawley Delivery Office, RH</t>
  </si>
  <si>
    <t>NSS GROUP</t>
  </si>
  <si>
    <t>15905</t>
  </si>
  <si>
    <t>Callencroft Court, Swansea</t>
  </si>
  <si>
    <t>Eurotech Balcony Systems Ltd, Eurotech Balcony Systems Ltd, Eurotech Balcony Systems Ltd</t>
  </si>
  <si>
    <t>15895</t>
  </si>
  <si>
    <t>Ivybridge Primary School</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</si>
  <si>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</si>
  <si>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Tissue Faced PIR, Tissue Faced PIR, Tissue Faced PIR, Tissue Faced PIR, Tissue Faced PIR, Tissue Faced PIR, Tissue Faced PIR, Tissue Faced PIR, Tissue Faced PIR, Tissue Faced PIR, Tissue Faced PIR, Tissue Faced PIR</t>
  </si>
  <si>
    <t>15891</t>
  </si>
  <si>
    <t>Morant place, N - Block 3</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</si>
  <si>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</si>
  <si>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15889</t>
  </si>
  <si>
    <t>Newcastle RVI UTC, Queen Victoria Road, NE1 4LP</t>
  </si>
  <si>
    <t>Rockwool Limited (Bauder), Rockwool Limited (Bauder), Rockwool Limited (Bauder), Rockwool Limited (Bauder), Rockwool Limited (Bauder), Rockwool Limited (Bauder), Rockwool Limited (Bauder), Rockwool Limited (Bauder)</t>
  </si>
  <si>
    <t>15883</t>
  </si>
  <si>
    <t>13 The Brackens, GU</t>
  </si>
  <si>
    <t>Tapered Plus Limited, Tapered Plus Limited, Chris &amp; Elin, Chris &amp; Elin, Chris &amp; Elin, Chris &amp; Elin</t>
  </si>
  <si>
    <t>VIPs, VIPs, Tissue Faced PIR, VIPs, Tissue Faced PIR, Tissue Faced PIR, Tissue Faced PIR</t>
  </si>
  <si>
    <t>15857</t>
  </si>
  <si>
    <t>Kings Mill Hospital, Mansfield Road</t>
  </si>
  <si>
    <t>Rockwool Limited, Rockwool Limited, Rockwool Limited, Rockwool Limited, Rockwool Limited, Rockwool Limited (Bauder), Rockwool Limited (Bauder), Rockwool Limited (Bauder), Rockwool Limited (Bauder), Rockwool Limited (Bauder), Rockwool Limited (Bauder), Rockwool Limited (Bauder), Rockwool Limited (Bauder)</t>
  </si>
  <si>
    <t>15854</t>
  </si>
  <si>
    <t>India Mills, Blackburn, BB</t>
  </si>
  <si>
    <t>15845</t>
  </si>
  <si>
    <t>52 Lower Sloane Street</t>
  </si>
  <si>
    <t>ROCKWOOL HardRock Multi-Fix (DD), ROCKDeck, ROCKWOOL HardRock Multi-Fix (DD)</t>
  </si>
  <si>
    <t>15835</t>
  </si>
  <si>
    <t>Willow Barn, Sheffield S</t>
  </si>
  <si>
    <t>AccuRoof, AccuRoof, AccuRoof, AccuRoof, AccuRoof</t>
  </si>
  <si>
    <t>Tissue Faced PIR, VIPs, VIPs, VIPs, Tissue Faced PIR, VIPs</t>
  </si>
  <si>
    <t>15834</t>
  </si>
  <si>
    <t>Village Hotel Blackpool, FY</t>
  </si>
  <si>
    <t>15829</t>
  </si>
  <si>
    <t>38 Pitt Place, Loxford Gardens, N</t>
  </si>
  <si>
    <t>Langley Waterproofing Systems Limited, Langley Waterproofing Systems Limited, Langley Waterproofing Systems Limited</t>
  </si>
  <si>
    <t>15821</t>
  </si>
  <si>
    <t>Sea Road, PL</t>
  </si>
  <si>
    <t>Minster Truro, Minster Truro</t>
  </si>
  <si>
    <t>15810</t>
  </si>
  <si>
    <t>Queens Hospital Burton, Urgent Treatment Centre</t>
  </si>
  <si>
    <t>15785</t>
  </si>
  <si>
    <t>Little Crimea, Great Tew</t>
  </si>
  <si>
    <t>ICB (Waterproofing) Ltd, ICB (Waterproofing) Ltd, ICB (Waterproofing) Ltd, ICB (Waterproofing) Ltd</t>
  </si>
  <si>
    <t>15773</t>
  </si>
  <si>
    <t>50 Hookfield, KT</t>
  </si>
  <si>
    <t>15766</t>
  </si>
  <si>
    <t>Osborne House, Edinburgh</t>
  </si>
  <si>
    <t>Moy Materials (UK) Limited, Moy Materials (UK) Limited, Moy Materials (UK) Limited, Moy Materials (UK) Limited</t>
  </si>
  <si>
    <t>15764</t>
  </si>
  <si>
    <t>.Rolls DF81 New Roof, DE24 9GJ</t>
  </si>
  <si>
    <t>15762</t>
  </si>
  <si>
    <t>Gosberton House Academy, Lincolnshire</t>
  </si>
  <si>
    <t>Enertherm</t>
  </si>
  <si>
    <t>15751</t>
  </si>
  <si>
    <t>15 Silchester road</t>
  </si>
  <si>
    <t>Langley Waterproofing Systems Limited, Langley Waterproofing Systems Limited, Langley Waterproofing Systems Limited, Langley Waterproofing Systems Limited, Langley Waterproofing Systems Limited, Langley Waterproofing Systems Limited</t>
  </si>
  <si>
    <t>Tissue Faced PIR, ROCKWOOL HardRock Multi-Fix (DD), Tissue Faced PIR, ROCKWOOL HardRock Multi-Fix (DD), ROCKWOOL HardRock Multi-Fix (DD), ROCKWOOL HardRock Multi-Fix (DD)</t>
  </si>
  <si>
    <t>15750</t>
  </si>
  <si>
    <t>Highbury Hill</t>
  </si>
  <si>
    <t>Tissue Faced PIR, Tissue Faced PIR, Tissue Faced PIR, Tissue Faced PIR, Tissue Faced PIR, Tissue Faced PIR, VIPs</t>
  </si>
  <si>
    <t>15739</t>
  </si>
  <si>
    <t>Waitrose, Burgess Hill, RH</t>
  </si>
  <si>
    <t>Langley Waterproofing Systems Limited, Langley Waterproofing Systems Limited, Langley Waterproofing Systems Limited, Langley Waterproofing Systems Limited, Langley Waterproofing Systems Limited</t>
  </si>
  <si>
    <t>15734</t>
  </si>
  <si>
    <t>Crawley SHDF, RH</t>
  </si>
  <si>
    <t>Tissue Faced PIR, Tissue Faced PIR, Tissue Faced PIR (Prebonded), Tissue Faced PIR (Prebonded), Tissue Faced PIR, Tissue Faced PIR, Tissue Faced PIR (Prebonded), Tissue Faced PIR, Tissue Faced PIR</t>
  </si>
  <si>
    <t>15726</t>
  </si>
  <si>
    <t>12 Pier Head, Wapping, London E1W 1PN</t>
  </si>
  <si>
    <t>CMO stores, CMO stores, CMO stores</t>
  </si>
  <si>
    <t>Roofblock G1T3+, Roofblock G1T3+, Roofblock G1T3+</t>
  </si>
  <si>
    <t>15724</t>
  </si>
  <si>
    <t>The Oaks, Farnborough Park</t>
  </si>
  <si>
    <t>EPS/PIR Tissue Faced, Tissue Faced PIR</t>
  </si>
  <si>
    <t>15722</t>
  </si>
  <si>
    <t>South Thamesmead</t>
  </si>
  <si>
    <t>Axter Limited, 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</si>
  <si>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VIPs, Tissue Faced PIR, Tissue Faced PIR, Tissue Faced PIR, Tissue Faced PIR, Tissue Faced PIR, Tissue Faced PIR</t>
  </si>
  <si>
    <t>15707</t>
  </si>
  <si>
    <t>The Jacob's Bakery Ltd, Liverpool L9 7BQ</t>
  </si>
  <si>
    <t>Lancastria LLP, Lancastria LLP, Lancastria LLP, Lancastria LLP, Lancastria LLP</t>
  </si>
  <si>
    <t>Torch On PIR, Torch On PIR, Torch On PIR, Tissue Faced PIR, Torch On PIR, Tissue Faced PIR, Torch On PIR, Tissue Faced PIR</t>
  </si>
  <si>
    <t>15700</t>
  </si>
  <si>
    <t>Community Diagnostic Centre (CDC), Mansfield TX</t>
  </si>
  <si>
    <t>Sothall Roofing Specialists Limited, Rockwool Limited (Bauder), Rockwool Limited (Bauder), Rockwool Limited (Bauder), Rockwool Limited (Bauder)</t>
  </si>
  <si>
    <t>15696</t>
  </si>
  <si>
    <t>Sudbury Primary School, HA</t>
  </si>
  <si>
    <t>Tissue Faced PIR, Tissue Faced PIR, Torch On PIR (Prebonded), Torch On PIR (Prebonded), Torch On PIR, Torch On PIR, Torch On PIR, Torch On PIR</t>
  </si>
  <si>
    <t>15662</t>
  </si>
  <si>
    <t>KT14 7FG</t>
  </si>
  <si>
    <t>Rexhill, Rexhill</t>
  </si>
  <si>
    <t>15660</t>
  </si>
  <si>
    <t>Lancaster West</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</si>
  <si>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</si>
  <si>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15654</t>
  </si>
  <si>
    <t>Seafield House</t>
  </si>
  <si>
    <t>Tissue Faced PIR (Prebonded), Tissue Faced PIR (Prebonded), Tissue Faced PIR (Prebonded)</t>
  </si>
  <si>
    <t>15636</t>
  </si>
  <si>
    <t>Portico Roof, The Grange, Field Lane, Hensall DN14 0RE</t>
  </si>
  <si>
    <t>Westwood Roofing Ltd</t>
  </si>
  <si>
    <t>15633</t>
  </si>
  <si>
    <t>Building 5 - South Bank Place, SE (Braeburn Estates)</t>
  </si>
  <si>
    <t>Rockwool Limited, Rockwool Limited, Rockwool Limited, Rockwool Limited, Rockwool Limited, Rockwool Limited</t>
  </si>
  <si>
    <t>15627</t>
  </si>
  <si>
    <t>Fabrica, Oxford</t>
  </si>
  <si>
    <t>Rockwool Limited, Rockwool Limited, Belgrade Insulations Limited, Rockwool Limited, Guaranteed Asphalt Limited, Rockwool Limited, Rockwool Limited, Rockwool Limited, Rockwool Limited, Rockwool Limited, Rockwool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</si>
  <si>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</si>
  <si>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15619</t>
  </si>
  <si>
    <t>18 Bancroft gardens</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</si>
  <si>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</si>
  <si>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</si>
  <si>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15617</t>
  </si>
  <si>
    <t>Westminster Public mortuary</t>
  </si>
  <si>
    <t>Axter Limited, Langley Waterproofing Systems Limited</t>
  </si>
  <si>
    <t>15592</t>
  </si>
  <si>
    <t>16 Melville Road Barnes</t>
  </si>
  <si>
    <t>Aldridge and Sons, ICB (Waterproofing) Ltd</t>
  </si>
  <si>
    <t>Tissue Faced PIR, Tissue Faced PIR (Prebonded)</t>
  </si>
  <si>
    <t>15572</t>
  </si>
  <si>
    <t>St Martins Place, London, WC2N 4AL</t>
  </si>
  <si>
    <t>Tor Coatings Limited, Tor Coatings Limited, Tor Coatings Limited, Tor Coatings Limited</t>
  </si>
  <si>
    <t>15567</t>
  </si>
  <si>
    <t>Mars Wrigley, Peanut Corridoor</t>
  </si>
  <si>
    <t>15561</t>
  </si>
  <si>
    <t>Pizza Express, Golden Cross, Ox</t>
  </si>
  <si>
    <t>Rockwool Limited, EPD Insulation Group Ltd, Triflex (U.K.) Limited</t>
  </si>
  <si>
    <t>15555</t>
  </si>
  <si>
    <t>Trevelyan Middle School</t>
  </si>
  <si>
    <t>Garland</t>
  </si>
  <si>
    <t>Torch On PIR (Prebonded)</t>
  </si>
  <si>
    <t>15553</t>
  </si>
  <si>
    <t>Cranfield University Test Bed Phase 1</t>
  </si>
  <si>
    <t>FATRA UK LTD, Axter Limited, Axter Limited, Axter Limited, Axter Limited, Axter Limited</t>
  </si>
  <si>
    <t>15552</t>
  </si>
  <si>
    <t>Tunbridge Wells Grammar School for Boys</t>
  </si>
  <si>
    <t>15538</t>
  </si>
  <si>
    <t>Montpelier Road, CB8 2QF</t>
  </si>
  <si>
    <t>Westwood Liquid Technologies Limited, Westwood Liquid Technologies Limited, Westwood Liquid Technologies Limited, Westwood Liquid Technologies Limited</t>
  </si>
  <si>
    <t>15536</t>
  </si>
  <si>
    <t>Gloucester House, Basildon</t>
  </si>
  <si>
    <t>15529</t>
  </si>
  <si>
    <t>Alvares House, Hackney, E9</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</si>
  <si>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</si>
  <si>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Tissue Faced PIR, Tissue Faced PIR, Tissue Faced PIR, Tissue Faced PIR, Tissue Faced PIR, Tissue Faced PIR, Tissue Faced PIR, Tissue Faced PIR, XPS, Tissue Faced PIR, Tissue Faced PIR, Tissue Faced PIR, Tissue Faced PIR, Tissue Faced PIR</t>
  </si>
  <si>
    <t>15519</t>
  </si>
  <si>
    <t>Radionucleide Glasgow</t>
  </si>
  <si>
    <t>15514</t>
  </si>
  <si>
    <t>Lane Head, Main Road, Ryton, Gateshead</t>
  </si>
  <si>
    <t>FATRA UK LTD, FATRA UK LTD, FATRA UK LTD, FATRA UK LTD</t>
  </si>
  <si>
    <t>15493</t>
  </si>
  <si>
    <t>11 The Rose Walk, Radlet, WD</t>
  </si>
  <si>
    <t>Amora Roofing Ltd, FATRA UK LTD, FATRA UK LTD</t>
  </si>
  <si>
    <t>15490</t>
  </si>
  <si>
    <t>Soft Touch Arts, Leicester, LE</t>
  </si>
  <si>
    <t>15478</t>
  </si>
  <si>
    <t>The Buckingham School, MK</t>
  </si>
  <si>
    <t>Triflex (U.K.) Limited, Triflex (U.K.) Limited, Triflex (U.K.) Limited, Triflex (U.K.) Limited, Triflex (U.K.) Limited, Triflex (U.K.) Limited, Triflex (U.K.) Limited, Triflex (U.K.) Limited, Triflex (U.K.) Limited</t>
  </si>
  <si>
    <t>Torch On PIR, ROCKWOOL HardRock Multi-Fix (DD), Torch On PIR, Torch On PIR, ROCKWOOL HardRock Multi-Fix (DD), Tissue Faced PIR, ROCKWOOL HardRock Multi-Fix (DD), Tissue Faced PIR, ROCKWOOL HardRock Multi-Fix (DD)</t>
  </si>
  <si>
    <t>15475</t>
  </si>
  <si>
    <t>Colchester Hotel</t>
  </si>
  <si>
    <t>MAB Roofing Limited, MAB Roofing Limited, MAB Roofing Limited</t>
  </si>
  <si>
    <t>15413</t>
  </si>
  <si>
    <t>Overtop, Cock Lane, HP10 8DS</t>
  </si>
  <si>
    <t>Aaron Freer, Proactive Roofing Solutions Ltd</t>
  </si>
  <si>
    <t>15394</t>
  </si>
  <si>
    <t>39 Willsbridge Hill, Willsbridge, Bristol, BS30 6EX</t>
  </si>
  <si>
    <t>15392</t>
  </si>
  <si>
    <t>St Teresa's School</t>
  </si>
  <si>
    <t>Commodity</t>
  </si>
  <si>
    <t>Garland, Garland, Garland, Garland, Garland, Garland, Garland, Garland, Garland, Aldworth Roofing Contracts Ltd, Garland, Garland, Garland, Garland, Garland, Garland, Garland, Garland</t>
  </si>
  <si>
    <t>EPS / PIR Torch On (Prebonded), EPS / PIR Torch On (Prebonded), EPS / PIR Torch On (Prebonded), EPS / PIR Torch On (Prebonded), EPS / PIR Torch On (Prebonded), EPS / PIR Torch On (Prebonded), EPS / PIR Torch On (Prebonded)</t>
  </si>
  <si>
    <t>15382</t>
  </si>
  <si>
    <t>Orestone End, Salcombe</t>
  </si>
  <si>
    <t>Triflex (U.K.) Limited, Triflex (U.K.) Limited, Triflex (U.K.) Limited</t>
  </si>
  <si>
    <t>VIPs, VIPs</t>
  </si>
  <si>
    <t>15381</t>
  </si>
  <si>
    <t>Chapel Manor school, Enfield, EN</t>
  </si>
  <si>
    <t>Langley Waterproofing Systems Limited, Langley Waterproofing Systems Limited, Langley Waterproofing Systems Limited, Langley Waterproofing Systems Limited</t>
  </si>
  <si>
    <t>15375</t>
  </si>
  <si>
    <t>Pitt Place Epsom</t>
  </si>
  <si>
    <t>15370</t>
  </si>
  <si>
    <t>91 Hitchin Hatch Lane, Sevenoaks</t>
  </si>
  <si>
    <t>GR Regan</t>
  </si>
  <si>
    <t>15368</t>
  </si>
  <si>
    <t>Littlecross House, Bristol, BS3 1SL</t>
  </si>
  <si>
    <t>Rateavon Limited, Triflex (U.K.) Limited, Rateavon Limited, Rateavon Limited, Rateavon Limited, Rateavon Limited, Rateavon Limited, Rateavon Limited</t>
  </si>
  <si>
    <t>Tissue Faced PIR, Tissue Faced PIR (Prebonded), Tissue Faced PIR (Prebonded), Tissue Faced PIR, Tissue Faced PIR (Prebonded)</t>
  </si>
  <si>
    <t>15361</t>
  </si>
  <si>
    <t>23 Weston Road</t>
  </si>
  <si>
    <t>15356</t>
  </si>
  <si>
    <t>Byron villas</t>
  </si>
  <si>
    <t>EPD Insulation Group Ltd</t>
  </si>
  <si>
    <t>15333</t>
  </si>
  <si>
    <t>West Kirkby, Grange Road, CH48 4HX</t>
  </si>
  <si>
    <t>quantum facades, quantum facades, FATRA UK LTD, FATRA UK LTD</t>
  </si>
  <si>
    <t>Tissue Faced PIR, Tissue Faced PIR, Foil Faced PIR, Foil Faced PIR</t>
  </si>
  <si>
    <t>15328</t>
  </si>
  <si>
    <t>49 Hallam Street, W1W 6JW - Lower Left Roof</t>
  </si>
  <si>
    <t>15311</t>
  </si>
  <si>
    <t>West Leys, off Vicarage Lane, Burton, Carnforth, LA6 1NW</t>
  </si>
  <si>
    <t>15278</t>
  </si>
  <si>
    <t>174 Crooked Mile, EN</t>
  </si>
  <si>
    <t>Shield Membranes Limited, Rubberseal, Rubberseal, Axter Limited, Guaranteed Asphalt Limited, Guaranteed Asphalt Limited, Proactive Roofing Solutions Ltd, Proactive Roofing Solutions Ltd</t>
  </si>
  <si>
    <t>EPS/PIR Tissue Faced, Tissue Faced PIR (Prebonded), Tissue Faced PIR (Prebonded), Tissue Faced PIR, Tissue Faced PIR, EPS/PIR Tissue Faced, Tissue Faced PIR, Tissue Faced PIR</t>
  </si>
  <si>
    <t>15257</t>
  </si>
  <si>
    <t>Foots Cray Estate, Sidcup, DA</t>
  </si>
  <si>
    <t>SS Waterproofing, Prokol, Prokol, Prokol, Prokol, Prokol, SS Waterproofing, SS Waterproofing, SS Waterproofing, SS Waterproofing, SS Waterproofing, SS Waterproofing, SS Waterproofing, SS Waterproofing</t>
  </si>
  <si>
    <t>Foil Faced PIR, Tissue Faced PIR, Foil Faced PIR, Tissue Faced PIR, Foil Faced PIR, Foil Faced PIR, Foil Faced PIR, Foil Faced PIR, Foil Faced PIR, Foil Faced PIR, Foil Faced PIR, Foil Faced PIR, Foil Faced PIR, Foil Faced PIR</t>
  </si>
  <si>
    <t>15254</t>
  </si>
  <si>
    <t>Twelvetrees Park</t>
  </si>
  <si>
    <t>structure care</t>
  </si>
  <si>
    <t>15245</t>
  </si>
  <si>
    <t>Rhodium Building, B90 8AS</t>
  </si>
  <si>
    <t>Centaur Technologies Ltd</t>
  </si>
  <si>
    <t>ROCKDeck</t>
  </si>
  <si>
    <t>15241</t>
  </si>
  <si>
    <t>Latchmere House Church Road</t>
  </si>
  <si>
    <t>15238</t>
  </si>
  <si>
    <t>Cannonbury Park, N</t>
  </si>
  <si>
    <t>VIPs</t>
  </si>
  <si>
    <t>15234</t>
  </si>
  <si>
    <t>444 Fulwood Road</t>
  </si>
  <si>
    <t>John Pedder</t>
  </si>
  <si>
    <t>15230</t>
  </si>
  <si>
    <t>1 Great George street, SW</t>
  </si>
  <si>
    <t>15227</t>
  </si>
  <si>
    <t>Duchess House, Centenary Quay, SO</t>
  </si>
  <si>
    <t>15183</t>
  </si>
  <si>
    <t>King Henry's Dr, London,CR</t>
  </si>
  <si>
    <t>Langley Waterproofing Systems Limited, Maguire Brothers, Maguire Brothers, Maguire Brothers, Maguire Brothers, Maguire Brothers, Maguire Brothers, Maguire Brothers</t>
  </si>
  <si>
    <t>15178</t>
  </si>
  <si>
    <t>Camborne Redruth Community Hospital, TR</t>
  </si>
  <si>
    <t>CORNWALL FLAT ROOFING UK COMPANY LIMITED, Jewson Penzance, Garland</t>
  </si>
  <si>
    <t>15175</t>
  </si>
  <si>
    <t>Culham Science Centre, Abingdon, OX</t>
  </si>
  <si>
    <t>Enertherm, Enertherm</t>
  </si>
  <si>
    <t>15171</t>
  </si>
  <si>
    <t>Columbia Cottage, Flagg, Buxton, SK17 9QQ</t>
  </si>
  <si>
    <t>15164</t>
  </si>
  <si>
    <t>55 Deansgate Ln, M</t>
  </si>
  <si>
    <t>Lancastria LLP, FATRA UK LTD, FATRA UK LTD</t>
  </si>
  <si>
    <t>Tissue Faced PIR, ROCKWOOL HardRock Multi-Fix (DD), ROCKWOOL HardRock Multi-Fix (DD)</t>
  </si>
  <si>
    <t>15144</t>
  </si>
  <si>
    <t>ARU Writtle, Chelmsford</t>
  </si>
  <si>
    <t>15124</t>
  </si>
  <si>
    <t>VIE02 - Site 64, Datacentre Austria, Ailecgasse</t>
  </si>
  <si>
    <t>15122</t>
  </si>
  <si>
    <t>Britannia Plots H3-H6</t>
  </si>
  <si>
    <t>15120</t>
  </si>
  <si>
    <t>Laurie House, Arlie Gardens</t>
  </si>
  <si>
    <t>15113</t>
  </si>
  <si>
    <t>Chatham Probation office, ME</t>
  </si>
  <si>
    <t>15112</t>
  </si>
  <si>
    <t>RAF Menwith Hill, Building 936</t>
  </si>
  <si>
    <t>15106</t>
  </si>
  <si>
    <t>Stonefield House, Stanley Village, ST9 9LX</t>
  </si>
  <si>
    <t>Tissue Faced PIR, Tissue Faced PIR, Tissue Faced PIR, Tissue Faced PIR, Tissue Faced PIR, Tissue Faced PIR, Tissue Faced PIR, Tissue Faced PIR, VIPs, Tissue Faced PIR</t>
  </si>
  <si>
    <t>15101</t>
  </si>
  <si>
    <t>Hale Barns, M</t>
  </si>
  <si>
    <t>15097</t>
  </si>
  <si>
    <t>31 Hurlingham Gardens, SW6 3PH</t>
  </si>
  <si>
    <t>15071</t>
  </si>
  <si>
    <t>Colfe's School, Horn Park Lane, London</t>
  </si>
  <si>
    <t>FATRA UK LTD, FATRA UK LTD, FATRA UK LTD, FATRA UK LTD, FATRA UK LTD, FATRA UK LTD, FATRA UK LTD, ALB Brickwork Limited, ALB Brickwork Limited, FATRA UK LTD</t>
  </si>
  <si>
    <t>Foil Faced PIR, VIPs, Foil Faced PIR, Tissue Faced PIR, Foil Faced PIR, Tissue Faced PIR, Foil Faced PIR, Tissue Faced PIR, Tissue Faced PIR, Tissue Faced PIR</t>
  </si>
  <si>
    <t>15068</t>
  </si>
  <si>
    <t>Widley Court Primary School, PL</t>
  </si>
  <si>
    <t>RTL UK Group Ltd, TD Roofing Consultants</t>
  </si>
  <si>
    <t>15063</t>
  </si>
  <si>
    <t>Sunrising, Allenhayes Road, TQ</t>
  </si>
  <si>
    <t>15057</t>
  </si>
  <si>
    <t>34 Drayton Gardens</t>
  </si>
  <si>
    <t>Tissue Faced PIR, Roofblock G1T3+</t>
  </si>
  <si>
    <t>15050</t>
  </si>
  <si>
    <t>Manor farm, BA</t>
  </si>
  <si>
    <t>15048</t>
  </si>
  <si>
    <t>Kings Court First School</t>
  </si>
  <si>
    <t>15030</t>
  </si>
  <si>
    <t>Tottenham Hale Ferry Island</t>
  </si>
  <si>
    <t>Axter Limited, Axter Limited, Axter Limited, Axter Limited, Axter Limited, Axter Limited, Axter Limited, Axter Limited, Axter Limited, Axter Limited, Axter Limited</t>
  </si>
  <si>
    <t>VIPs, VIPs, VIPs, VIPs, VIPs, VIPs, VIPs, XPS, XPS, VIPs, VIPs, XPS, XPS, VIPs, VIPs, XPS</t>
  </si>
  <si>
    <t>15017</t>
  </si>
  <si>
    <t>Links Court, Friern Barnet Lane, N20 0NF</t>
  </si>
  <si>
    <t>Flex-R, Flex-R, Chelmsford Roofing Supplies, Chelmsford Roofing Supplies</t>
  </si>
  <si>
    <t>15003</t>
  </si>
  <si>
    <t>Blackheath Stair Overruns</t>
  </si>
  <si>
    <t>Vabel Projects Limited, Vabel Projects Limited</t>
  </si>
  <si>
    <t>14998</t>
  </si>
  <si>
    <t>13-47 Salisbury Road</t>
  </si>
  <si>
    <t>Triflex (U.K.) Limited, Triflex (U.K.) Limited, Triflex (U.K.) Limited, Triflex (U.K.) Limited, Triflex (U.K.) Limited, Triflex (U.K.) Limited, Triflex (U.K.) Limited, Triflex (U.K.) Limited</t>
  </si>
  <si>
    <t>Tissue Faced PIR, Tissue Faced PIR (Prebonded), Tissue Faced PIR, ROCKWOOL HardRock Multi-Fix (DD), ROCKWOOL HardRock Multi-Fix (DD), Tissue Faced PIR, ROCKWOOL HardRock Multi-Fix (DD), Tissue Faced PIR</t>
  </si>
  <si>
    <t>14986</t>
  </si>
  <si>
    <t>Hengrove Park Bookends - Block E2 - Fourth Floor</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</si>
  <si>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</si>
  <si>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</si>
  <si>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14974</t>
  </si>
  <si>
    <t>Collingwood Court, PO33</t>
  </si>
  <si>
    <t>Tissue Faced PIR (Prebonded), Tissue Faced PIR, Tissue Faced PIR, Tissue Faced PIR</t>
  </si>
  <si>
    <t>14940</t>
  </si>
  <si>
    <t>Unspecified Roof - Gutter, Birmingham</t>
  </si>
  <si>
    <t>Tremco CPG UK Limited</t>
  </si>
  <si>
    <t>14934</t>
  </si>
  <si>
    <t>North West Cambridge - Lot 4 Residential Development, CB</t>
  </si>
  <si>
    <t>14930</t>
  </si>
  <si>
    <t>6 The Boltons Kensington</t>
  </si>
  <si>
    <t>Garhigh (Southern) Limited</t>
  </si>
  <si>
    <t>14923</t>
  </si>
  <si>
    <t>Unit 28, Minworth, B</t>
  </si>
  <si>
    <t>14901</t>
  </si>
  <si>
    <t>Aurora, Trawler Road, SA</t>
  </si>
  <si>
    <t>Rockwool Limited (Bauder), Rockwool Limited (Bauder), Rockwool Limited (Bauder), Rockwool Limited (Bauder), Rockwool Limited (Bauder), Rockwool Limited (Bauder), Rockwool Limited (Bauder), Rockwool Limited (Bauder), Rockwool Limited (Bauder), Rockwool Limited (Bauder)</t>
  </si>
  <si>
    <t>14898</t>
  </si>
  <si>
    <t>Forster Park, North Road</t>
  </si>
  <si>
    <t>14895</t>
  </si>
  <si>
    <t>6 Broughton Gardens, N6 5RS</t>
  </si>
  <si>
    <t>Moy Materials (UK) Limited, Moy Materials (UK) Limited, Moy Materials (UK) Limited, Quantum Insulation</t>
  </si>
  <si>
    <t>Inverted EPS, Inverted EPS, Inverted EPS, Inverted EPS</t>
  </si>
  <si>
    <t>14894</t>
  </si>
  <si>
    <t>Ysgol Cynefin, CF</t>
  </si>
  <si>
    <t>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t>
  </si>
  <si>
    <t>14888</t>
  </si>
  <si>
    <t>14 Craven Hill Mews</t>
  </si>
  <si>
    <t>ICB (Waterproofing) Ltd, ICB (Waterproofing) Ltd, ICB (Waterproofing) Ltd, ICB (Waterproofing) Ltd, ICB (Waterproofing) Ltd, ICB (Waterproofing) Ltd, ICB (Waterproofing) Ltd, ICB (Waterproofing) Ltd, ICB (Waterproofing) Ltd, ICB (Waterproofing) Ltd, ICB (Waterproofing) Ltd</t>
  </si>
  <si>
    <t>Tissue Faced PIR (Prebonded), Tissue Faced PIR, Tissue Faced PIR, Tissue Faced PIR, VIPs, Tissue Faced PIR, VIPs, Tissue Faced PIR (Prebonded), VIPs, VIPs, Tissue Faced PIR (Prebonded), Tissue Faced PIR, VIPs</t>
  </si>
  <si>
    <t>14880</t>
  </si>
  <si>
    <t>Harrods London</t>
  </si>
  <si>
    <t>14870</t>
  </si>
  <si>
    <t>Cornmill House, Spring Gardens, Romford, London</t>
  </si>
  <si>
    <t>Bluestage Ltd, Bluestage Ltd, Bluestage Ltd, Bluestage Ltd, Bluestage Ltd, Bluestage Ltd, Bluestage Ltd</t>
  </si>
  <si>
    <t>Foil Faced PIR, Foil Faced PIR, Foil Faced PIR, Tissue Faced PIR</t>
  </si>
  <si>
    <t>14869</t>
  </si>
  <si>
    <t>Launceston college, PL</t>
  </si>
  <si>
    <t>Garland, Garland, Garland, Garland, Garland</t>
  </si>
  <si>
    <t>EPS / PIR Torch On (Prebonded), EPS / PIR Torch On (Prebonded)</t>
  </si>
  <si>
    <t>14865</t>
  </si>
  <si>
    <t>Leicester Road, Market Harborough, Leicestershire, LE16 7AY</t>
  </si>
  <si>
    <t>Triflex (U.K.) Limited, Triflex (U.K.) Limited</t>
  </si>
  <si>
    <t>14862</t>
  </si>
  <si>
    <t>New Bond Street, W</t>
  </si>
  <si>
    <t>Kent Asphalt Ltd</t>
  </si>
  <si>
    <t>14858</t>
  </si>
  <si>
    <t>Blindwells Primary School</t>
  </si>
  <si>
    <t>14849</t>
  </si>
  <si>
    <t>Former Barclaycard Building, Stock-on-Tees</t>
  </si>
  <si>
    <t>Construction Envelope Contracts, Construction Envelope Contracts, Construction Envelope Contracts, Construction Envelope Contracts, Construction Envelope Contracts</t>
  </si>
  <si>
    <t>Foil Faced PIR, Foil Faced PIR, Foil Faced PIR, Foil Faced PIR, Foil Faced PIR</t>
  </si>
  <si>
    <t>14845</t>
  </si>
  <si>
    <t>Craighall Primary School, EH</t>
  </si>
  <si>
    <t>Rockwool Limited (Bauder), Rockwool Limited</t>
  </si>
  <si>
    <t>14835</t>
  </si>
  <si>
    <t>Haslemere Road, Liphook, GU30 7BX</t>
  </si>
  <si>
    <t>14833</t>
  </si>
  <si>
    <t>Melliss Avenue, Kew</t>
  </si>
  <si>
    <t>Langley Waterproofing Systems Limited, Langley Waterproofing Systems Limited, Langley Waterproofing Systems Limited, Langley Waterproofing Systems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</si>
  <si>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ROCKDeck, ROCKDeck, ROCKDeck, ROCKDeck, ROCKWOOL HardRock Multi-Fix (DD), ROCKWOOL HardRock Multi-Fix (DD), ROCKWOOL HardRock Multi-Fix (DD), ROCKWOOL HardRock Multi-Fix (DD), ROCKWOOL HardRock Multi-Fix (DD), ROCKWOOL HardRock Multi-Fix (DD), Tissue Faced PIR, Tissue Faced PIR, Tissue Faced PIR, Tissue Faced PIR, Tissue Faced PIR, ROCKWOOL HardRock Multi-Fix (DD), Tissue Faced PIR, ROCKWOOL HardRock Multi-Fix (DD), Tissue Faced PIR, Tissue Faced PIR, Tissue Faced PIR, Tissue Faced PIR, Tissue Faced PIR, Tissue Faced PIR, Tissue Faced PIR, Tissue Faced PIR, Tissue Faced PIR, Tissue Faced PIR, Tissue Faced PIR, Tissue Faced PIR, Tissue Faced PIR, Tissue Faced PIR</t>
  </si>
  <si>
    <t>14825</t>
  </si>
  <si>
    <t>St. Thomas More Catholic School, Blaydon, NE21</t>
  </si>
  <si>
    <t>14824</t>
  </si>
  <si>
    <t>Kings of Wessex Academy, BS</t>
  </si>
  <si>
    <t>14817</t>
  </si>
  <si>
    <t>Savers Store, 14 All Saints Square, CV</t>
  </si>
  <si>
    <t>The Yorkshire Maintenance Co. (Hull) Limited, The Yorkshire Maintenance Co. (Hull) Limited, The Yorkshire Maintenance Co. (Hull) Limited, The Yorkshire Maintenance Co. (Hull) Limited</t>
  </si>
  <si>
    <t>14812</t>
  </si>
  <si>
    <t>St. Andrew's Court, W4</t>
  </si>
  <si>
    <t>EPS / PIR Torch On (Prebonded), EPS / PIR Torch On (Prebonded), EPS / PIR Torch On (Prebonded), EPS / PIR Torch On (Prebonded), EPS / PIR Torch On (Prebonded)</t>
  </si>
  <si>
    <t>14791</t>
  </si>
  <si>
    <t>Welcome Break Services, Rotherham</t>
  </si>
  <si>
    <t>14786</t>
  </si>
  <si>
    <t>Victoria House, WC1B 4DA</t>
  </si>
  <si>
    <t>AccuRoof, AccuRoof, AccuRoof, AccuRoof</t>
  </si>
  <si>
    <t>14772</t>
  </si>
  <si>
    <t>18-19 The Pavement</t>
  </si>
  <si>
    <t>Tissue Faced PIR, Tissue Faced PIR, Tissue Faced PIR, Tissue Faced PIR, Tissue Faced PIR, Tissue Faced PIR, Tissue Faced PIR, Tissue Faced PIR, Tissue Faced PIR, Tissue Faced PIR</t>
  </si>
  <si>
    <t>14771</t>
  </si>
  <si>
    <t>168 Hanover Road, NW</t>
  </si>
  <si>
    <t>Georgian Roofing Ltd, Georgian Roofing Ltd, Georgian Roofing Ltd</t>
  </si>
  <si>
    <t>Tissue Faced PIR, Tissue Faced PIR, Torch On PIR</t>
  </si>
  <si>
    <t>14769</t>
  </si>
  <si>
    <t>Cambridge South Station, Trumpington, Cambridge CB2 9DQ</t>
  </si>
  <si>
    <t>Rockwool Limited (Bauder), Rockwool Limited (Bauder), Rockwool Limited (Bauder), Rockwool Limited (Bauder), Rockwool Limited (Bauder), Rockwool Limited, Rockwool Limited, Rockwool Limited (Bauder), Craft Interior Limited, Craft Interior Limited, Craft Interior Limited, Rockwool Limited (Bauder), Rockwool Limited (Bauder)</t>
  </si>
  <si>
    <t>14767</t>
  </si>
  <si>
    <t>Merlin Park University Hospital, Galway, Ireland</t>
  </si>
  <si>
    <t>Rockwool Limited (Bauder), Rockwool Limited (Bauder), Rockwool Limited (Bauder), Rockwool Limited, Rockwool Limited (Bauder), Rockwool Limited, Rockwool Limited (Bauder), Rockwool Limited (Bauder)</t>
  </si>
  <si>
    <t>14760</t>
  </si>
  <si>
    <t>Datacentre Austria, Ailecgasse</t>
  </si>
  <si>
    <t>Moy Materials (UK) Limited, Moy Materials (UK) Limited, Moy Materials (UK) Limited, Moy Materials (UK) Limited, MOY MATERIALS (NORTHERN) LTD (DO NOT USE - Dissolved), Moy Materials (UK) Limited</t>
  </si>
  <si>
    <t>14751</t>
  </si>
  <si>
    <t>Downtown Victoria North, Manchester</t>
  </si>
  <si>
    <t>Rockwool Limited (Bauder), Rockwool Limited (Bauder), Rockwool Limited (Bauder), Rockwool Limited (Bauder), Rockwool Limited, Rockwool Limited (Bauder), Rockwool Limited, Rockwool Limited,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t>
  </si>
  <si>
    <t>14743</t>
  </si>
  <si>
    <t>6 Picket Mead Road, SA</t>
  </si>
  <si>
    <t>Chris Sherrington, Chris Sherrington</t>
  </si>
  <si>
    <t>Tissue Faced PIR, EPS 150 (SPR)</t>
  </si>
  <si>
    <t>14730</t>
  </si>
  <si>
    <t>Sanders School</t>
  </si>
  <si>
    <t>EPS / PIR Torch On (Prebonded), EPS / PIR Torch On, Torch On PIR (Prebonded), EPS / PIR Torch On (Prebonded), EPS / PIR Torch On (Prebonded)</t>
  </si>
  <si>
    <t>14723</t>
  </si>
  <si>
    <t>10 Broad House</t>
  </si>
  <si>
    <t>Optimal Roofing Solutions Ltd, Optimal Roofing Solutions Ltd, Optimal Roofing Solutions Ltd, Optimal Roofing Solutions Ltd</t>
  </si>
  <si>
    <t>14720</t>
  </si>
  <si>
    <t>Rossington Hub, Primary Care Centre, DN</t>
  </si>
  <si>
    <t>AccuRoof, AccuRoof, Langley Waterproofing Systems Limited, Langley Waterproofing Systems Limited, Langley Waterproofing Systems Limited</t>
  </si>
  <si>
    <t>Tissue Faced PIR, EPS/PIR Tissue Faced, Tissue Faced PIR, Tissue Faced PIR, Tissue Faced PIR</t>
  </si>
  <si>
    <t>14717</t>
  </si>
  <si>
    <t>Appletrees, London Road, Hemel Hempstead, HP1 2RU</t>
  </si>
  <si>
    <t>Tapered Plus Limited, Tapered Plus Limited, Eddie Bushe House, Eddie Bushe House</t>
  </si>
  <si>
    <t>14716</t>
  </si>
  <si>
    <t>Bet365 Zenith Building, Manchester</t>
  </si>
  <si>
    <t>Falcon Felt Roofing LTD, Falcon Felt Roofing LTD, Falcon Felt Roofing LTD</t>
  </si>
  <si>
    <t>Tissue Faced PIR (Prebonded), Tissue Faced PIR, Tissue Faced PIR</t>
  </si>
  <si>
    <t>14709</t>
  </si>
  <si>
    <t>153 &amp; 155 Upper Brockley Road, SE4 1TF</t>
  </si>
  <si>
    <t>Blitbolt Ltd, Blitbolt Ltd</t>
  </si>
  <si>
    <t>14695</t>
  </si>
  <si>
    <t>Millbrook Park, NW</t>
  </si>
  <si>
    <t>Tissue Faced PIR, Foil Faced PIR, Tissue Faced PIR, Tissue Faced PIR, Foil Faced PIR, Tissue Faced PIR, Tissue Faced PIR</t>
  </si>
  <si>
    <t>14692</t>
  </si>
  <si>
    <t>New Care Home, Promenade, Whitley Bay, NE26</t>
  </si>
  <si>
    <t>Permaroof (UK) Limited, Permaroof (UK) Limited, Permaroof (UK) Limited</t>
  </si>
  <si>
    <t>Tissue Faced PIR, VIPs, Tissue Faced PIR</t>
  </si>
  <si>
    <t>14681</t>
  </si>
  <si>
    <t>Hadrian Academy, Luton LU5 4SR</t>
  </si>
  <si>
    <t>Garland, Garland, Garland, Garland, Garland, Garland, Garland</t>
  </si>
  <si>
    <t>Torch On PIR (Prebonded), Torch On PIR</t>
  </si>
  <si>
    <t>14673</t>
  </si>
  <si>
    <t>Gym Roof, Newstead Abbey</t>
  </si>
  <si>
    <t>14664</t>
  </si>
  <si>
    <t>Austin Place Weybridge</t>
  </si>
  <si>
    <t>14661</t>
  </si>
  <si>
    <t>Oak Green House</t>
  </si>
  <si>
    <t>DO NOT USE Alltype Roofing Supplies Group LTD</t>
  </si>
  <si>
    <t>14658</t>
  </si>
  <si>
    <t>Watermeadow Court, London SW6 2RW</t>
  </si>
  <si>
    <t>14647</t>
  </si>
  <si>
    <t>Green Lane, Timperley, Altrincham</t>
  </si>
  <si>
    <t>14645</t>
  </si>
  <si>
    <t>Stanstead Airport Control Tower</t>
  </si>
  <si>
    <t>Tissue Faced PIR (Prebonded)</t>
  </si>
  <si>
    <t>14635</t>
  </si>
  <si>
    <t>Flat 9 Copthall Flats, 31 Longley Road, London SW17 9LA</t>
  </si>
  <si>
    <t>Constfix</t>
  </si>
  <si>
    <t>14632</t>
  </si>
  <si>
    <t>Unspecified Roof, Manchester</t>
  </si>
  <si>
    <t>Permaroof (UK) Limited</t>
  </si>
  <si>
    <t>14631</t>
  </si>
  <si>
    <t>Unspecified Roof, Conisborough, Doncaster</t>
  </si>
  <si>
    <t>14627</t>
  </si>
  <si>
    <t>St Michaels Catholic High School</t>
  </si>
  <si>
    <t>14619</t>
  </si>
  <si>
    <t>Fulwell Junior School, SR</t>
  </si>
  <si>
    <t>Construction Envelope Contracts, Construction Envelope Contracts, Construction Envelope Contracts</t>
  </si>
  <si>
    <t>14580</t>
  </si>
  <si>
    <t>The Mill House Care Home</t>
  </si>
  <si>
    <t>Proactive Roofing Solutions Ltd, Proactive Roofing Solutions Ltd, Proactive Roofing Solutions Ltd, Proactive Roofing Solutions Ltd, Proactive Roofing Solutions Ltd, Proactive Roofing Solutions Ltd, Proactive Roofing Solutions Ltd, Proactive Roofing Solutions Ltd</t>
  </si>
  <si>
    <t>Tissue Faced PIR, Foil Faced PIR, Foil Faced PIR, Foil Faced PIR, Foil Faced PIR, Foil Faced PIR, Tissue Faced PIR, Foil Faced PIR</t>
  </si>
  <si>
    <t>14576</t>
  </si>
  <si>
    <t>University of Westminster, 309 Regent Street, London W1B 2HW</t>
  </si>
  <si>
    <t>Langley Waterproofing Systems Limited, Langley Waterproofing Systems Limited, Langley Waterproofing Systems Limited, Langley Waterproofing Systems Limited, Langley Waterproofing Systems Limited, Langley Waterproofing Systems Limited, Langley Waterproofing Systems Limited</t>
  </si>
  <si>
    <t>14570</t>
  </si>
  <si>
    <t>187 Fleet Street</t>
  </si>
  <si>
    <t>VIPs, VIPs, VIPs, Tissue Faced PIR, VIPs, VIPs, Tissue Faced PIR, Tissue Faced PIR, VIPs, Tissue Faced PIR, VIPs</t>
  </si>
  <si>
    <t>14566</t>
  </si>
  <si>
    <t>Fardell Court</t>
  </si>
  <si>
    <t>14565</t>
  </si>
  <si>
    <t>Lasdun H-J Block, Leicester, LE2 - Phase 1</t>
  </si>
  <si>
    <t>14555</t>
  </si>
  <si>
    <t>Durley Hill House, BS</t>
  </si>
  <si>
    <t>Roof Estimating Services, Roof Estimating Services</t>
  </si>
  <si>
    <t>14544</t>
  </si>
  <si>
    <t>Bond Primary School</t>
  </si>
  <si>
    <t>Bailey UK</t>
  </si>
  <si>
    <t>14536</t>
  </si>
  <si>
    <t>POSK Library, London</t>
  </si>
  <si>
    <t>Rockwool Limited, AccuRoof</t>
  </si>
  <si>
    <t>14533</t>
  </si>
  <si>
    <t>Overdart House, TQ</t>
  </si>
  <si>
    <t>14531</t>
  </si>
  <si>
    <t>Yeovil District Hospital, BA</t>
  </si>
  <si>
    <t>14529</t>
  </si>
  <si>
    <t>Tustin Estate - D1</t>
  </si>
  <si>
    <t>Tissue Faced PIR, Tissue Faced PIR, Tissue Faced PIR, Tissue Faced PIR, Tissue Faced PIR, Tissue Faced PIR, Tissue Faced PIR, Tissue Faced PIR, Tissue Faced PIR, Tissue Faced PIR, Tissue Faced PIR, Tissue Faced PIR, Tissue Faced PIR, Tissue Faced PIR, Tissue Faced PIR, ROCKWOOL HardRock Multi-Fix (DD), Tissue Faced PIR</t>
  </si>
  <si>
    <t>14520</t>
  </si>
  <si>
    <t>The Wells, SE</t>
  </si>
  <si>
    <t>Axter Limited, Lancastria LLP, Axter Limited</t>
  </si>
  <si>
    <t>Tissue Faced PIR, Torch On PIR (Prebonded), Torch On PIR (Prebonded)</t>
  </si>
  <si>
    <t>14499</t>
  </si>
  <si>
    <t>Bessemer Grange School</t>
  </si>
  <si>
    <t>14497</t>
  </si>
  <si>
    <t>Dulwich Wood School, SE21 8NS</t>
  </si>
  <si>
    <t>14488</t>
  </si>
  <si>
    <t>Streethay Care, Caterham Crescent, WS13 8GS</t>
  </si>
  <si>
    <t>14482</t>
  </si>
  <si>
    <t>Unit S2, NE29 7SY</t>
  </si>
  <si>
    <t>14474</t>
  </si>
  <si>
    <t>St Georges Bristol, BS</t>
  </si>
  <si>
    <t>14472</t>
  </si>
  <si>
    <t>2 Ainger Road, Primrose Hill NW3 3AR</t>
  </si>
  <si>
    <t>14467</t>
  </si>
  <si>
    <t>Cokethorpe Academy, OC</t>
  </si>
  <si>
    <t>Tissue Faced PIR, ROCKWOOL HardRock Multi-Fix (DD), Tissue Faced PIR, Tissue Faced PIR</t>
  </si>
  <si>
    <t>14461</t>
  </si>
  <si>
    <t>Devs House, SN</t>
  </si>
  <si>
    <t>Tapered Plus Limited, Tapered Plus Limited</t>
  </si>
  <si>
    <t>14455</t>
  </si>
  <si>
    <t>Filbert Village, Leicester</t>
  </si>
  <si>
    <t>14449</t>
  </si>
  <si>
    <t>Milliners Bristol, BS</t>
  </si>
  <si>
    <t>FATRA UK LTD, FATRA UK LTD, Rockwool Limited (Bauder), Langley Waterproofing Systems Limited, FATRA UK LTD, FATRA UK LTD, Mason Facades Ltd, FATRA UK LTD</t>
  </si>
  <si>
    <t>Tissue Faced PIR, Torch On PIR, ROCKWOOL HardRock Multi-Fix (DD), ROCKWOOL HardRock Multi-Fix (DD), Torch On PIR, Torch On PIR, Tissue Faced PIR, Tissue Faced PIR</t>
  </si>
  <si>
    <t>14446</t>
  </si>
  <si>
    <t>216 Lampton Rd, Hounslow TW3 4EX</t>
  </si>
  <si>
    <t>Tissue Faced PIR (Prebonded), Tissue Faced PIR (Prebonded), Tissue Faced PIR (Prebonded), Tissue Faced PIR (Prebonded), Tissue Faced PIR (Prebonded), Tissue Faced PIR (Prebonded), Tissue Faced PIR (Prebonded), Tissue Faced PIR (Prebonded)</t>
  </si>
  <si>
    <t>14444</t>
  </si>
  <si>
    <t>Carters Court, 97a-117 Caversham Road</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</si>
  <si>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</si>
  <si>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14428</t>
  </si>
  <si>
    <t>U422 - Bayley Cabin</t>
  </si>
  <si>
    <t>U-Build</t>
  </si>
  <si>
    <t>14425</t>
  </si>
  <si>
    <t>Northampton Town FC East Stand</t>
  </si>
  <si>
    <t>steadfast Constructionltd, FATRA UK LTD, FATRA UK LTD, FATRA UK LTD, Triflex (U.K.) Limited, FATRA UK LTD, FATRA UK LTD, AccuRoof</t>
  </si>
  <si>
    <t>14423</t>
  </si>
  <si>
    <t>10 Northampton Park, London N1 2PJ</t>
  </si>
  <si>
    <t>Produk Limited, Produk Limited</t>
  </si>
  <si>
    <t>EPS 150 (SPR), EPS 150 (SPR)</t>
  </si>
  <si>
    <t>14422</t>
  </si>
  <si>
    <t>Liston, BH</t>
  </si>
  <si>
    <t>Inverted EPS, Inverted EPS, Inverted EPS</t>
  </si>
  <si>
    <t>14420</t>
  </si>
  <si>
    <t>Saint Wilfrid's Catholic Primary School, Bishop Auckland DL14 6QH</t>
  </si>
  <si>
    <t>14413</t>
  </si>
  <si>
    <t>1 Coach House Lane, Wimbledon</t>
  </si>
  <si>
    <t>AccuRoof, Construction Services East London Limited, FATRA UK LTD, Construction Services East London Limited, AccuRoof, AccuRoof</t>
  </si>
  <si>
    <t>14398</t>
  </si>
  <si>
    <t>Unspecified Roof, Leeds</t>
  </si>
  <si>
    <t>14391</t>
  </si>
  <si>
    <t>Kingston Manor, West Sussex BN16 1RR</t>
  </si>
  <si>
    <t>Salmon Solutions, Salmon Solutions, Salmon Solutions</t>
  </si>
  <si>
    <t>14381</t>
  </si>
  <si>
    <t>Chilton Academy Phase 2</t>
  </si>
  <si>
    <t>14359</t>
  </si>
  <si>
    <t>11 Broadmoor Vale, Bath</t>
  </si>
  <si>
    <t>Poole Single Ply Roofing Systems</t>
  </si>
  <si>
    <t>14357</t>
  </si>
  <si>
    <t>Venture Farm, Ponteland, NE13 7AA</t>
  </si>
  <si>
    <t>Construction Envelope Contracts, Construction Envelope Contracts, Construction Envelope Contracts, Construction Envelope Contracts</t>
  </si>
  <si>
    <t>14354</t>
  </si>
  <si>
    <t>Wyvern House</t>
  </si>
  <si>
    <t>14353</t>
  </si>
  <si>
    <t>Paxton Court, Westbourne Rd, N7 8AF</t>
  </si>
  <si>
    <t>14338</t>
  </si>
  <si>
    <t>51 The Mall &amp; Ivana House</t>
  </si>
  <si>
    <t>14335</t>
  </si>
  <si>
    <t>Hayesfield School, Bath. BA2 3QX</t>
  </si>
  <si>
    <t>Poole Single Ply Roofing Systems, Poole Single Ply Roofing Systems, Poole Single Ply Roofing Systems</t>
  </si>
  <si>
    <t>14326</t>
  </si>
  <si>
    <t>Priors Court School</t>
  </si>
  <si>
    <t>Greenham Construction Ltd, FATRA UK LTD, FATRA UK LTD</t>
  </si>
  <si>
    <t>14317</t>
  </si>
  <si>
    <t>150a Elgin Avenue London W92NT</t>
  </si>
  <si>
    <t>14297</t>
  </si>
  <si>
    <t>The Links Primary School, Stockton</t>
  </si>
  <si>
    <t>14295</t>
  </si>
  <si>
    <t>Sellafield Garage</t>
  </si>
  <si>
    <t>14290</t>
  </si>
  <si>
    <t>New Day Care Centre &amp; Housing To Canklow, Rotherham</t>
  </si>
  <si>
    <t>AccuRoof, Sothall Roofing Specialists Limited, Sothall Roofing Specialists Limited, Sothall Roofing Specialists Limited, Sothall Roofing Specialists Limited, Sothall Roofing Specialists Limited, Sothall Roofing Specialists Limited, Sothall Roofing Specialists Limited, Sothall Roofing Specialists Limited</t>
  </si>
  <si>
    <t>Torch On PIR, Tissue Faced PIR, Foil Faced PIR, Foil Faced PIR, Foil Faced PIR, Foil Faced PIR, Foil Faced PIR, Foil Faced PIR, Foil Faced PIR</t>
  </si>
  <si>
    <t>14283</t>
  </si>
  <si>
    <t>Centrax F Block</t>
  </si>
  <si>
    <t>14260</t>
  </si>
  <si>
    <t>Lilywhite house, N</t>
  </si>
  <si>
    <t>Langley Waterproofing Systems Limited, Triflex (U.K.) Limited, Triflex (U.K.) Limited, Triflex (U.K.) Limited, Triflex (U.K.)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t>
  </si>
  <si>
    <t>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</si>
  <si>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14257</t>
  </si>
  <si>
    <t>Vanguard Storage, Bath, BA</t>
  </si>
  <si>
    <t>14256</t>
  </si>
  <si>
    <t>Univeristy Of Edinburgh, Appleton Tower, EH8</t>
  </si>
  <si>
    <t>14251</t>
  </si>
  <si>
    <t>MBDA Henlow, Bedford Road, Henlow, SG 16</t>
  </si>
  <si>
    <t>Rockwool Limited (Bauder), Rockwool Limited (Bauder), Rockwool Limited (Bauder), Rockwool Limited (Bauder), Rockwool Limited (Bauder), Rockwool Limited (Bauder), Rockwool Limited (Bauder), MAC Roofing, Belgrade Insulations Limited, Axter Limited, Axter Limited, Axter Limited, Axter Limited, Axter Limited, Axter Limited, Axter Limited, Axter Limited, Rockwool Limited (Bauder), Rockwool Limited (Bauder), Rockwool</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</si>
  <si>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Tissue Faced PIR, ROCKWOOL HardRock Multi-Fix (DD), Tissue Faced PIR, Tissue Faced PIR, ROCKWOOL HardRock Multi-Fix (DD), ROCKWOOL HardRock Multi-Fix (DD), Tissue Faced PIR, ROCKWOOL HardRock Multi-Fix (DD), ROCKWOOL HardRock Multi-Fix (DD), ROCKWOOL HardRock Multi-Fix (DD)</t>
  </si>
  <si>
    <t>14244</t>
  </si>
  <si>
    <t>Harrow Crown Court</t>
  </si>
  <si>
    <t>Axter Limited, Axter Limited, Rockwool Limited (Bauder), Rockwool Limited (Bauder)</t>
  </si>
  <si>
    <t>Tissue Faced PIR, Tissue Faced PIR, ROCKWOOL HardRock Multi-Fix (DD), ROCKWOOL HardRock Multi-Fix (DD)</t>
  </si>
  <si>
    <t>14234</t>
  </si>
  <si>
    <t>Manchester Communication Academy</t>
  </si>
  <si>
    <t>B B R Roofing Limited, B B R Roofing Limited</t>
  </si>
  <si>
    <t>Torch On PIR (Prebonded), Torch On PIR (Prebonded)</t>
  </si>
  <si>
    <t>14231</t>
  </si>
  <si>
    <t>5 Halstead Close, Canterbury</t>
  </si>
  <si>
    <t>Westwood Liquid Technologies Limited, Westwood Liquid Technologies Limited, Westwood Liquid Technologies Limited, Westwood Liquid Technologies Limited, Tapered Plus Limited</t>
  </si>
  <si>
    <t>Tissue Faced PIR, ROCKWOOL HardRock Multi-Fix (DD), Tissue Faced PIR (Prebonded), Tissue Faced PIR (Prebonded), Tissue Faced PIR, ROCKWOOL HardRock Multi-Fix (DD), Tissue Faced PIR, ROCKWOOL HardRock Multi-Fix (DD)</t>
  </si>
  <si>
    <t>14213</t>
  </si>
  <si>
    <t>Kodak , Harrow</t>
  </si>
  <si>
    <t>14210</t>
  </si>
  <si>
    <t>Cir Mhor, The Highlands, East Horsley KT24 5BQ</t>
  </si>
  <si>
    <t>Westwood Liquid Technologies Limited</t>
  </si>
  <si>
    <t>14207</t>
  </si>
  <si>
    <t>Liberton Community Campus</t>
  </si>
  <si>
    <t>14205</t>
  </si>
  <si>
    <t>DFE Loughborough College Institute of Technology Building, LE11 3BT</t>
  </si>
  <si>
    <t>14196</t>
  </si>
  <si>
    <t>Rowan Williams Court</t>
  </si>
  <si>
    <t>Foil Faced PIR, Tissue Faced PIR</t>
  </si>
  <si>
    <t>14177</t>
  </si>
  <si>
    <t>Greenachers  22 The Avenue</t>
  </si>
  <si>
    <t>Tissue Faced PIR (Prebonded), Tissue Faced PIR (Prebonded), Tissue Faced PIR (Prebonded), Tissue Faced PIR (Prebonded)</t>
  </si>
  <si>
    <t>14175</t>
  </si>
  <si>
    <t>Blenheim Walk Cafe, Leeds Arts University</t>
  </si>
  <si>
    <t>14157</t>
  </si>
  <si>
    <t>71 Park Street, Bristol</t>
  </si>
  <si>
    <t>14125</t>
  </si>
  <si>
    <t>Ampleforth College, York, YO62</t>
  </si>
  <si>
    <t>AccuRoof, AccuRoof, AccuRoof, AccuRoof, AccuRoof, AccuRoof, AccuRoof, AccuRoof, AccuRoof, AccuRoof, AccuRoof, AccuRoof, AccuRoof, AccuRoof, AccuRoof</t>
  </si>
  <si>
    <t>Torch On PIR, Torch On PIR, Torch On PIR, Torch On PIR, Torch On PIR, Torch On PIR, Torch On PIR, Torch On PIR, Torch On PIR, Torch On PIR, Torch On PIR, Torch On PIR, Torch On PIR</t>
  </si>
  <si>
    <t>14120</t>
  </si>
  <si>
    <t>Kingsdene, Worthing, BN</t>
  </si>
  <si>
    <t>14117</t>
  </si>
  <si>
    <t>Arla Foods (Lockerbie), DG</t>
  </si>
  <si>
    <t>14115</t>
  </si>
  <si>
    <t>60 Ridgeside Ave Brighton</t>
  </si>
  <si>
    <t>Tissue Faced PIR (Prebonded), Tissue Faced PIR, Tissue Faced PIR (Prebonded), Tissue Faced PIR (Prebonded), Tissue Faced PIR (Prebonded), Tissue Faced PIR (Prebonded)</t>
  </si>
  <si>
    <t>14100</t>
  </si>
  <si>
    <t>128 West Bay Road, Bridport</t>
  </si>
  <si>
    <t>14096</t>
  </si>
  <si>
    <t>Lancaster Street</t>
  </si>
  <si>
    <t>14068</t>
  </si>
  <si>
    <t>Highfield House</t>
  </si>
  <si>
    <t>Axter Limited, Axter Limited, Axter Limited, Axter Limited, SIG Distribution, Axter Limited, Baker Estates Limited, Baker Estates Limited, SIG Distribution, Baker Estates Limited</t>
  </si>
  <si>
    <t>Tissue Faced PIR, Tissue Faced PIR, Tissue Faced PIR, Tissue Faced PIR, EPS 150 (SPR), Tissue Faced PIR, Tissue Faced PIR, EPS 150 (SPR), EPS 150 (SPR), EPS 150 (SPR)</t>
  </si>
  <si>
    <t>14046</t>
  </si>
  <si>
    <t>Wornington Green Phase 2B</t>
  </si>
  <si>
    <t>14044</t>
  </si>
  <si>
    <t>Home Arches, Manchester</t>
  </si>
  <si>
    <t>SIG Trading Limited, SIG Trading Limited</t>
  </si>
  <si>
    <t>14041</t>
  </si>
  <si>
    <t>Unspecified Staircase Roof (Sweden)</t>
  </si>
  <si>
    <t>Belgrade Insulations Limited</t>
  </si>
  <si>
    <t>14027</t>
  </si>
  <si>
    <t>30 Gloucester Place</t>
  </si>
  <si>
    <t>Inverted EPS, Inverted EPS, Inverted EPS, Inverted EPS, Inverted EPS, Inverted EPS, Inverted EPS, Inverted EPS, Inverted EPS, Inverted EPS, Inverted EPS</t>
  </si>
  <si>
    <t>14024</t>
  </si>
  <si>
    <t>Trent College, Derby Road, Long Eaton, Nottinghamshire NG10 4AD</t>
  </si>
  <si>
    <t>14017</t>
  </si>
  <si>
    <t>Orchard Theatre, Dartford, DA1 1ED</t>
  </si>
  <si>
    <t>14009</t>
  </si>
  <si>
    <t>SEAH Monopile Teesworks, TS6 6AF</t>
  </si>
  <si>
    <t>Rockwool Limited (Bauder), Rockwool Limited (Bauder), Rockwool Limited (Bauder), FATRA UK LTD, FATRA UK LTD</t>
  </si>
  <si>
    <t>ROCKWOOL HardRock Multi-Fix (DD), ROCKWOOL HardRock Multi-Fix (DD), ROCKWOOL HardRock Multi-Fix (DD), ROCKWOOL HardRock Multi-Fix (DD), Tissue Faced PIR</t>
  </si>
  <si>
    <t>14007</t>
  </si>
  <si>
    <t>Elfrida School</t>
  </si>
  <si>
    <t>14005</t>
  </si>
  <si>
    <t>Chytane, Buckfastleigh</t>
  </si>
  <si>
    <t>Roofbase Limited, Rockwool Limited, Roofbase Limited, Roofbase Limited, M.Markovitz Limited</t>
  </si>
  <si>
    <t>Tissue Faced PIR, ROCKWOOL HardRock Multi-Fix (DD), Tissue Faced PIR, Tissue Faced PIR, Tissue Faced PIR</t>
  </si>
  <si>
    <t>13998</t>
  </si>
  <si>
    <t>Fairlawn School</t>
  </si>
  <si>
    <t>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 Langley Waterproofing Systems Limited</t>
  </si>
  <si>
    <t>13988</t>
  </si>
  <si>
    <t>Broadway Heights, ME</t>
  </si>
  <si>
    <t>Moy Materials (UK) Limited</t>
  </si>
  <si>
    <t>13973</t>
  </si>
  <si>
    <t>Hartmere Howe, Bowness-on-Windermere LA23</t>
  </si>
  <si>
    <t>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t>
  </si>
  <si>
    <t>Tissue Faced PIR (Prebonded), Tissue Faced PIR (Prebonded), Tissue Faced PIR (Prebonded), VIPs, Tissue Faced PIR (Prebonded), VIPs, VIPs, Tissue Faced PIR (Prebonded), VIPs</t>
  </si>
  <si>
    <t>13933</t>
  </si>
  <si>
    <t>Flowerpot Fields Pavilion, Exeter College</t>
  </si>
  <si>
    <t>Axter Limited, Axter Limited, Minster Truro, Axter Limited, Axter Limited, Axter Limited, Axter Limited, Axter Limited, Axter Limited, Axter Limited, Axter Limited</t>
  </si>
  <si>
    <t>13907</t>
  </si>
  <si>
    <t>Roseberry Primary School</t>
  </si>
  <si>
    <t>13881</t>
  </si>
  <si>
    <t>St Nicholas House, Hereford</t>
  </si>
  <si>
    <t>Tissue Faced PIR, ROCKDeck, ROCKWOOL HardRock Multi-Fix (DD), ROCKDeck, ROCKDeck, ROCKDeck, Tissue Faced PIR, Tissue Faced PIR (Prebonded)</t>
  </si>
  <si>
    <t>13872</t>
  </si>
  <si>
    <t>Belper Health Centre</t>
  </si>
  <si>
    <t>FATRA UK LTD, Sothall Roofing Specialists Limited, Sothall Roofing Specialists Limited, Sothall Roofing Specialists Limited</t>
  </si>
  <si>
    <t>13860</t>
  </si>
  <si>
    <t>Tipple, Winchester</t>
  </si>
  <si>
    <t>Proactive Roofing Solutions Ltd, Proactive Roofing Solutions Ltd, Proactive Roofing Solutions Ltd, Proactive Roofing Solutions Ltd</t>
  </si>
  <si>
    <t>13851</t>
  </si>
  <si>
    <t>Weybridge Hub</t>
  </si>
  <si>
    <t>Langley Waterproofing Systems Limited, Siltec Waterproofing Solutions LTD, Siltec Waterproofing Solutions LTD, Quantum Insulation, Langley Waterproofing Systems Limited, Langley Waterproofing Systems Limited, Langley Waterproofing Systems Limited, Langley Waterproofing Systems Limited, Langley Waterproofing Systems Limited</t>
  </si>
  <si>
    <t>Tissue Faced PIR, ROCKWOOL HardRock Multi-Fix (DD), ROCKWOOL HardRock Multi-Fix (DD), ROCKWOOL HardRock Multi-Fix (DD), Tissue Faced PIR, Tissue Faced PIR, Tissue Faced PIR</t>
  </si>
  <si>
    <t>13837</t>
  </si>
  <si>
    <t>HMP Dumfries, DG2 9AX</t>
  </si>
  <si>
    <t>Rockwool Limited (Bauder), Rockwool Limited (Bauder), Rockwool Limited (Bauder), Rockwool Limited (Bauder), Rockwool Limited (Bauder), Rockwool Limited (Bauder), Rockwool Limited (Bauder), Rockwool Limited (Bauder), Rockwool Limited (Bauder)</t>
  </si>
  <si>
    <t>13835</t>
  </si>
  <si>
    <t>HMP Greenock, PA16 9AJ</t>
  </si>
  <si>
    <t>Rockwool Limited (Bauder), Rockwool Limited (Bauder), Rockwool Limited, Rockwool Limited (Bauder), Rockwool Limited (Bauder), Rockwool Limited (Bauder), Rockwool Limited (Bauder)</t>
  </si>
  <si>
    <t>13818</t>
  </si>
  <si>
    <t>G1097 Bloom Camberwell</t>
  </si>
  <si>
    <t>Geo Roof Limited, Geo Roof Limited, Geo Roof Limited, Geo Roof Limited, Quantum Insulation, Geo Roof Limited</t>
  </si>
  <si>
    <t>ROCKDeck, Tissue Faced PIR, Tissue Faced PIR, Tissue Faced PIR, ROCKDeck, ROCKDeck</t>
  </si>
  <si>
    <t>13812</t>
  </si>
  <si>
    <t>30-36c Abbots Avenue West</t>
  </si>
  <si>
    <t>13778</t>
  </si>
  <si>
    <t>Hawthorn Hill, Granville Road, Weybridge, Surrey KT13 0QG</t>
  </si>
  <si>
    <t>Tissue Faced PIR, Tissue Faced PIR (Prebonded), Tissue Faced PIR (Prebonded), Tissue Faced PIR (Prebonded)</t>
  </si>
  <si>
    <t>13768</t>
  </si>
  <si>
    <t>Woodford Garden Village - Extra Care (Phase 2)</t>
  </si>
  <si>
    <t>Longworth Building Services Limited, FATRA UK LTD</t>
  </si>
  <si>
    <t>13724</t>
  </si>
  <si>
    <t>Bridesmead, Shipton Lane, Burton Bradstock, Bridport, Dorset, DT6 4NQ</t>
  </si>
  <si>
    <t>13665</t>
  </si>
  <si>
    <t>Queen Elizabeth &amp; Anne Court, Sheffield</t>
  </si>
  <si>
    <t>13657</t>
  </si>
  <si>
    <t>Greenbank, Bolton</t>
  </si>
  <si>
    <t>Westwood Liquid Technologies Limited, Westwood Liquid Technologies Limited, Westwood Liquid Technologies Limited, Westwood Liquid Technologies Limited, Westwood Liquid Technologies Limited, Westwood Roofing Ltd, Westwood Roofing Ltd</t>
  </si>
  <si>
    <t>VIPs, VIPs, VIPs, VIPs, VIPs</t>
  </si>
  <si>
    <t>13652</t>
  </si>
  <si>
    <t>London Oratory School</t>
  </si>
  <si>
    <t>Garland, Garland, Garland, Garland, Garland, Garland, Garland, Garland, Garland, Garland, Garland, Garland, Garland, Garland, Garland, Garland, Garland, Garland, Garland, Garland, Garland, Garland, Garland, Garland, Garland</t>
  </si>
  <si>
    <t>Torch On PIR (Prebonded), EPS / PIR Torch On (Prebonded), Torch On PIR, EPS / PIR Torch On (Prebonded), EPS / PIR Torch On (Prebonded), Torch On PIR, Torch On PIR, EPS / PIR Torch On (Prebonded), EPS / PIR Torch On (Prebonded), EPS 150 (SPR), EPS / PIR Torch On (Prebonded), EPS / PIR Torch On (Prebonded), EPS / PIR Torch On (Prebonded), EPS / PIR Torch On (Prebonded), EPS / PIR Torch On (Prebonded), EPS / PIR Torch On (Prebonded), EPS / PIR Torch On (Prebonded), EPS / PIR Torch On (Prebonded)</t>
  </si>
  <si>
    <t>13646</t>
  </si>
  <si>
    <t>TEALING, PRIESTON HILL</t>
  </si>
  <si>
    <t>EPS/PIR Tissue Faced, Tissue Faced PIR, EPS/PIR Tissue Faced</t>
  </si>
  <si>
    <t>13638</t>
  </si>
  <si>
    <t>West Clyst Primary School</t>
  </si>
  <si>
    <t>Minerva Roofing Ltd, Minerva Roofing Ltd</t>
  </si>
  <si>
    <t>13625</t>
  </si>
  <si>
    <t>840 Old Kent Road</t>
  </si>
  <si>
    <t>Axter Limited, Axter Limited, Axter Limited, Axter Limited, Axter Limited, Axter Limited, Axter Limited, Axter Limited</t>
  </si>
  <si>
    <t>13585</t>
  </si>
  <si>
    <t>Castle Hill Academy</t>
  </si>
  <si>
    <t>Garland, Garland, Garland, Garland, Garland, Garland, Garland, Garland, Garland, Garland, Garland, Garland</t>
  </si>
  <si>
    <t>Torch On PIR, Torch On PIR (Prebonded), Torch On PIR (Prebonded)</t>
  </si>
  <si>
    <t>13562</t>
  </si>
  <si>
    <t>Standard Apartments, Crescent Rd, N8 8AW</t>
  </si>
  <si>
    <t>Tissue Faced PIR (Prebonded), Tissue Faced PIR (Prebonded), Tissue Faced PIR (Prebonded), Tissue Faced PIR</t>
  </si>
  <si>
    <t>13552</t>
  </si>
  <si>
    <t>Westcliffe House, Sea Road, Kent, CT8 8FJ</t>
  </si>
  <si>
    <t>13547</t>
  </si>
  <si>
    <t>Renshaw Estates</t>
  </si>
  <si>
    <t>Axter Limited, Axter Limited, Axter Limited, Axter Limited, Axter Limited, Axter Limited, Axter Limited, Axter Limited, Axter Limited, Axter Limited, Axter Limited, Axter Limited, Axter Limited, Axter Limited, Axter Limited, Axter Limited, Axter Limited, Axter Limited, Tremco CPG UK Limited, Axter Limited, Axter Limited, Axter Limited, Axter Limited, Axter Limited, Axter Limited, Axter Limited, Axter Limited, Axter Limited, Axter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</si>
  <si>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EPS/PIR Tissue Faced, Tissue Faced PIR, Tissue Faced PIR, Tissue Faced PIR, Tissue Faced PIR, Tissue Faced PIR, Tissue Faced PIR, Tissue Faced PIR, Tissue Faced PIR, Tissue Faced PIR, Tissue Faced PIR</t>
  </si>
  <si>
    <t>13536</t>
  </si>
  <si>
    <t>St. Peter's School 8-13</t>
  </si>
  <si>
    <t>Roofclad Systems Ltd, AccuRoof, Roofclad Systems Ltd</t>
  </si>
  <si>
    <t>13521</t>
  </si>
  <si>
    <t>The Old Glove Factory, SN13 9TJ - Plot 02</t>
  </si>
  <si>
    <t>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t>
  </si>
  <si>
    <t>13494</t>
  </si>
  <si>
    <t>RMA Sandhurst</t>
  </si>
  <si>
    <t>M &amp; J Group (Construction &amp; Roofing) Ltd, M &amp; J Group (Construction &amp; Roofing) Ltd, ICB (Waterproofing) Ltd, M &amp; J Group (Construction &amp; Roofing) Ltd, AccuRoof, M &amp; J Group (Construction &amp; Roofing) Ltd, SIG Distribution</t>
  </si>
  <si>
    <t>ROCKWOOL HardRock Multi-Fix (DD), ROCKWOOL HardRock Multi-Fix (DD), ROCKWOOL HardRock Multi-Fix (DD), ROCKWOOL HardRock Multi-Fix (DD), Tissue Faced PIR, ROCKWOOL HardRock Multi-Fix (DD), ROCKWOOL HardRock Multi-Fix (DD)</t>
  </si>
  <si>
    <t>13493</t>
  </si>
  <si>
    <t>Welwyn Garden City, 73 Bridge Rd</t>
  </si>
  <si>
    <t>Axter Limited, Axter Limited, Axter Limited, Axter Limited, Axter Limited, Axter Limited, Axter Limited, Axter Limited, Axter Limited, Axter Limited, Axter Limited, Axter Limited, Axter Limited, Axter Limited, Axter Limited, Moy Materials (UK) Limited, Moy Materials (UK) Limited, Moy Materials (UK) Limited, Moy Materials (UK) Limited, Renolit UK Limited, Renolit UK Limited, Axter Limited, Axter Limited, Axter Limited, Axter Limited, Axter Limited, Axter Limited, Axter Limited, Axter Limited, Axter Limited</t>
  </si>
  <si>
    <t>Tissue Faced PIR, Tissue Faced PIR, Tissue Faced PIR, Tissue Faced PIR, Tissue Faced PIR, ROCKWOOL HardRock Multi-Fix (DD), Tissue Faced PIR, Tissue Faced PIR, Tissue Faced PIR, VIPs, VIPs, Tissue Faced PIR, Tissue Faced PIR, Tissue Faced PIR, Tissue Faced PIR, Tissue Faced PIR, ROCKWOOL HardRock Multi-Fix (DD), Torch On PIR, ROCKWOOL HardRock Multi-Fix (DD), Torch On PIR, ROCKWOOL HardRock Multi-Fix (DD), Torch On PIR, ROCKWOOL HardRock Multi-Fix (DD), Torch On PIR, ROCKWOOL HardRock Multi-Fix (DD), ROCKWOOL HardRock Multi-Fix (DD), ROCKWOOL HardRock Multi-Fix (DD), Tissue Faced PIR, ROCKWOOL HardRock Multi-Fix (DD), Tissue Faced PIR, ROCKWOOL HardRock Multi-Fix (DD), ROCKWOOL HardRock Multi-Fix (DD), Tissue Faced PIR, Tissue Faced PIR, Tissue Faced PIR, ROCKWOOL HardRock Multi-Fix (DD), ROCKWOOL HardRock Multi-Fix (DD), Tissue Faced PIR</t>
  </si>
  <si>
    <t>13489</t>
  </si>
  <si>
    <t>York Station Gateway</t>
  </si>
  <si>
    <t>Rockwool Limited, Axter Limited</t>
  </si>
  <si>
    <t>13482</t>
  </si>
  <si>
    <t>Library Lift Roof</t>
  </si>
  <si>
    <t>13470</t>
  </si>
  <si>
    <t>Harwell IQ - Block E - F</t>
  </si>
  <si>
    <t>Siltec Waterproofing Solutions LTD, Siltec Waterproofing Solutions LTD, Siltec Waterproofing Solutions LTD, Siltec Waterproofing Solutions LTD, Siltec Waterproofing Solutions LTD, Siltec Waterproofing Solutions LTD, Siltec Waterproofing Solutions LTD, Siltec Waterproofing Solutions LTD, Siltec Limited, Siltec Limited, Siltec Limited, Siltec Limited, Siltec Limited, Siltec Limited, Siltec Limited, Siltec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</si>
  <si>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</si>
  <si>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13430</t>
  </si>
  <si>
    <t>St Martins School</t>
  </si>
  <si>
    <t>Garland, Garland, Garland, Garland, Garland, Garland, Garland, Acclaim Contracts Limited, Acclaim Contracts Limited, Acclaim Contracts Limited, Acclaim Contracts Limited, Garland, Garland, Garland, Garland, Garland, Acclaim Contracts Limited, Garland, Garland, Garland, Garland, Garland, Garland, Garland, Garland, Garland, Garland, Garland, Garland, Garland</t>
  </si>
  <si>
    <t>EPS / PIR Torch On (Prebonded), Torch On PIR (Prebonded), Torch On PIR, EPS / PIR Torch On (Prebonded), EPS / PIR Torch On (Prebonded), EPS / PIR Torch On (Prebonded), EPS / PIR Torch On (Prebonded), Torch On PIR, EPS 100 (SPI), EPS / PIR Torch On (Prebonded), Torch On PIR, EPS 100 (SPI), EPS 100 (SPI), Torch On PIR, Torch On PIR, EPS 100 (SPI), Torch On PIR, EPS 100 (SPI), Torch On PIR, EPS 100 (SPI), Torch On PIR, EPS 100 (SPI), EPS 100 (SPI), Torch On PIR, EPS 100 (SPI), Torch On PIR, EPS 100 (SPI)</t>
  </si>
  <si>
    <t>13422</t>
  </si>
  <si>
    <t>Ealing Park Tavern</t>
  </si>
  <si>
    <t>Axter Limited, Axter Limited, Axter Limited, Prokol, Axter Limited, Axter Limited, Axter Limited, Axter Limited, Axter Limited, Axter Limited, Axter Limited, Axter Limited, Axter Limited, Axter Limited, Axter Limited, Axter Limited</t>
  </si>
  <si>
    <t>Roofblock G1T3+, Tissue Faced PIR, VIPs, Tissue Faced PIR, Tissue Faced PIR, Tissue Faced PIR, Tissue Faced PIR, Tissue Faced PIR, Tissue Faced PIR, Tissue Faced PIR, ROCKWOOL HardRock Multi-Fix (DD), Tissue Faced PIR, Tissue Faced PIR, Tissue Faced PIR, Tissue Faced PIR, Tissue Faced PIR</t>
  </si>
  <si>
    <t>13372</t>
  </si>
  <si>
    <t>Derriford Hospital</t>
  </si>
  <si>
    <t>Rockwool Limited (Bauder), Rockwool Limited (Bauder), Rockwool Limited, Rockwool Limited (Bauder), Rockwool Limited (Bauder), Rockwool Limited (Bauder)</t>
  </si>
  <si>
    <t>13364</t>
  </si>
  <si>
    <t>Gate House Abingdon</t>
  </si>
  <si>
    <t>Enertherm, Enertherm, Enertherm, Enertherm, Enertherm</t>
  </si>
  <si>
    <t>13359</t>
  </si>
  <si>
    <t>Portland Square, Bristol</t>
  </si>
  <si>
    <t>Student Accommodation</t>
  </si>
  <si>
    <t>Tissue Faced PIR, Tissue Faced PIR, Tissue Faced PIR, ROCKWOOL HardRock Multi-Fix (DD), Tissue Faced PIR, ROCKWOOL HardRock Multi-Fix (DD), Tissue Faced PIR, ROCKWOOL HardRock Multi-Fix (DD), ROCKWOOL HardRock Multi-Fix (DD), ROCKWOOL HardRock Multi-Fix (DD), ROCKWOOL HardRock Multi-Fix (DD)</t>
  </si>
  <si>
    <t>13324</t>
  </si>
  <si>
    <t>The Acers, 2, Elmstead Lane, Chislehurst, Kent, BR7 5RL</t>
  </si>
  <si>
    <t>Garhigh (Southern) Limited, Rockwool Limited, Garhigh (Southern) Limited</t>
  </si>
  <si>
    <t>Torch On PIR, ROCKWOOL HardRock Multi-Fix (DD), Torch On PIR</t>
  </si>
  <si>
    <t>13309</t>
  </si>
  <si>
    <t>Abacus Building, 246 Bradford Street, Deritend, Birmingham, B12 0NZ</t>
  </si>
  <si>
    <t>13307</t>
  </si>
  <si>
    <t>Hermes House, Sausmarez Steet, St. Peter Port, Guernsey</t>
  </si>
  <si>
    <t>13289</t>
  </si>
  <si>
    <t>University College Oxford - North Site</t>
  </si>
  <si>
    <t>Rockwool Limited (Bauder), Rockwool Limited, Rockwool Limited (Bauder), Rockwool Limited (Bauder), Rockwool Limited (Bauder)</t>
  </si>
  <si>
    <t>13283</t>
  </si>
  <si>
    <t>Emmanuel Centre, Edgware</t>
  </si>
  <si>
    <t>Tissue Faced PIR, Tissue Faced PIR, Tissue Faced PIR, Tissue Faced PIR, Torch On PIR, Torch On PIR, Torch On PIR, Torch On PIR, Torch On PIR, Torch On PIR, Torch On PIR</t>
  </si>
  <si>
    <t>13282</t>
  </si>
  <si>
    <t>31 High Street, Southampton SO14 2DF</t>
  </si>
  <si>
    <t>13278</t>
  </si>
  <si>
    <t>Bridport House</t>
  </si>
  <si>
    <t>Rockwool Limited (Bauder), Rockwool Limited (Bauder), Rockwool Limited (Bauder), Rockwool Limited (Bauder), Rockwool Limited (Bauder), Rockwool Limited (Bauder), Rockwool Limited (Bauder), Rockwool Limited (Bauder), Rockwool Limited (Bauder), Rockwool Limited (Bauder), Rockwool Limited (Bauder)</t>
  </si>
  <si>
    <t>13235</t>
  </si>
  <si>
    <t>EBURY BRIDGE ROAD</t>
  </si>
  <si>
    <t>Torch On PIR, Torch On PIR, Torch On PIR, Torch On PIR, Torch On PIR</t>
  </si>
  <si>
    <t>13229</t>
  </si>
  <si>
    <t>St Leonards Quarter, Exeter - PHASE 2</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</si>
  <si>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</si>
  <si>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ROCKWOOL HardRock Multi-Fix (DD), Tissue Faced PIR, ROCKWOOL HardRock Multi-Fix (DD), ROCKWOOL HardRock Multi-Fix (DD), ROCKWOOL HardRock Multi-Fix (DD), ROCKWOOL HardRock Multi-Fix (DD), Tissue Faced PIR, Tissue Faced PIR, ROCKWOOL HardRock Multi-Fix (DD), Tissue Faced PIR, Tissue Faced PIR, Tissue Faced PIR, ROCKWOOL HardRock Multi-Fix (DD), Tissue Faced PIR, Tissue Faced PIR, ROCKWOOL HardRock Multi-Fix (DD), ROCKWOOL HardRock Multi-Fix (DD), ROCKWOOL HardRock Multi-Fix (DD), Tissue Faced PIR, ROCKWOOL HardRock Multi-Fix (DD), ROCKWOOL HardRock Multi-Fix (DD), Tissue Faced PIR, Tissue Faced PIR, Tissue Faced PIR, Tissue Faced PIR, Tissue Faced PIR, Tissue Faced PIR, Tissue Faced PIR, Tissue Faced PIR, Tissue Faced PIR, Foil Faced PIR, Tissue Faced PIR, Foil Faced PIR, Tissue Faced PIR, Tissue Faced PIR, Tissue Faced PIR, Tissue Faced PIR</t>
  </si>
  <si>
    <t>13186</t>
  </si>
  <si>
    <t>Montem Lane, Slough - Block C1</t>
  </si>
  <si>
    <t>Axter Limited, Axter Limited, Axter Limited, Axter Limited, Axter Limited, Axter Limited, Axter Limited, Axter Limited, Axter Limited, Axter Limited, ICB (Waterproofing) Ltd, ICB (Waterproofing) Ltd, ICB (Waterproofing) Ltd, ICB (Waterproofing) Ltd, ICB (Waterproofing) Ltd, ICB (Waterproofing) Ltd, ICB (Waterproofing) Ltd, ICB (Waterproofing) Ltd,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</si>
  <si>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</si>
  <si>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13167</t>
  </si>
  <si>
    <t>Wittering Primary School</t>
  </si>
  <si>
    <t>Garland, Garland, Garland, Garland, Garland, Cambridge Flat Roofing Company Limited, Garland, Garland, Garland, Cambridge Flat Roofing Company Limited, Cambridge Flat Roofing Company Limited, Garland, Garland, Garland, Garland, Garland, Garland, Garland</t>
  </si>
  <si>
    <t>Torch On PIR (Prebonded), Torch On PIR (Prebonded), EPS / PIR Torch On (Prebonded), Torch On PIR, Torch On PIR, Torch On PIR, Torch On PIR, Torch On PIR, Torch On PIR, Torch On PIR, Torch On PIR, Torch On PIR, Torch On PIR, Torch On PIR, Torch On PIR, Torch On PIR</t>
  </si>
  <si>
    <t>13133</t>
  </si>
  <si>
    <t>One Vanwall, Maidenhead</t>
  </si>
  <si>
    <t>13121</t>
  </si>
  <si>
    <t>Access House, Newbury</t>
  </si>
  <si>
    <t>13073</t>
  </si>
  <si>
    <t>Cotswold School, Cheltenham, GL54 2BE</t>
  </si>
  <si>
    <t>EPS / PIR Torch On (Prebonded), EPS / PIR Torch On (Prebonded), EPS / PIR Torch On (Prebonded), Torch On PIR, EPS / PIR Torch On (Prebonded), EPS / PIR Torch On (Prebonded)</t>
  </si>
  <si>
    <t>13067</t>
  </si>
  <si>
    <t>Buildings D1-D7 - Beaufort Park, London</t>
  </si>
  <si>
    <t>Axter Limited, Axter Limited, Axter Limited, Axter Limited, Axter Limited, Axter Limited, Axter Limited, Axter Limited, Axter Limited, Axter Limited, Axter Limited, Rockwool Limited, AccuRoof</t>
  </si>
  <si>
    <t>Tissue Faced PIR, ROCKWOOL HardRock Multi-Fix (DD), ROCKWOOL HardRock Multi-Fix (DD), Tissue Faced PIR, Tissue Faced PIR, ROCKWOOL HardRock Multi-Fix (DD), ROCKWOOL HardRock Multi-Fix (DD), ROCKWOOL HardRock Multi-Fix (DD), Tissue Faced PIR, Tissue Faced PIR, ROCKWOOL HardRock Multi-Fix (DD), ROCKWOOL HardRock Multi-Fix (DD)</t>
  </si>
  <si>
    <t>13058</t>
  </si>
  <si>
    <t>Hutley Wharf</t>
  </si>
  <si>
    <t>Bailey Products Ltd, Bailey Products Ltd, Optimal Roofing Solutions Ltd, Optimal Roofing Solutions Ltd, Optimal Roofing Solutions Ltd, Optimal Roofing Solutions Ltd, Optimal Roofing Solutions Ltd, Optimal Roofing Solutions Ltd, Rockwool Limited</t>
  </si>
  <si>
    <t>Torch On PIR, Torch On PIR, Tissue Faced PIR, Tissue Faced PIR, ROCKWOOL HardRock Multi-Fix (DD), ROCKWOOL HardRock Multi-Fix (DD), ROCKWOOL HardRock Multi-Fix (DD), ROCKWOOL HardRock Multi-Fix (DD), ROCKWOOL HardRock Multi-Fix (DD)</t>
  </si>
  <si>
    <t>13023</t>
  </si>
  <si>
    <t>Nelson House, Farnborough</t>
  </si>
  <si>
    <t>13008</t>
  </si>
  <si>
    <t>Shanly Homes, Littleworth Road, Esher, Surrey</t>
  </si>
  <si>
    <t>ICB (Waterproofing) Ltd, ICB (Waterproofing) Ltd, ICB (Waterproofing) Ltd, ICB (Waterproofing) Ltd, ICB (Waterproofing) Ltd, ICB (Waterproofing) Ltd, ICB (Waterproofing) Ltd, ICB (Waterproofing) Ltd, ICB (Waterproofing) Ltd, ICB (Waterproofing) Ltd</t>
  </si>
  <si>
    <t>Tissue Faced PIR, Tissue Faced PIR (Prebonded), Tissue Faced PIR, Tissue Faced PIR, Tissue Faced PIR, VIPs, VIPs, Tissue Faced PIR, Tissue Faced PIR, Tissue Faced PIR</t>
  </si>
  <si>
    <t>13001</t>
  </si>
  <si>
    <t>Dorchester Brewery (Phase 3)</t>
  </si>
  <si>
    <t>ICB (Waterproofing) Ltd, Elliotts, Elliotts, Elliotts, SIG Distribution, Elliotts, Elliotts, Elliotts, Elliott Brothers Ltd, Elliott Brothers Ltd, SIG Distribution, Aloft Ltd</t>
  </si>
  <si>
    <t>Tissue Faced PIR, Tissue Faced PIR, Tissue Faced PIR (Prebonded), Tissue Faced PIR, Tissue Faced PIR, Tissue Faced PIR, Tissue Faced PIR, Tissue Faced PIR, Tissue Faced PIR, Tissue Faced PIR, Tissue Faced PIR, Tissue Faced PIR</t>
  </si>
  <si>
    <t>12967</t>
  </si>
  <si>
    <t>Keeley Close, Manchester</t>
  </si>
  <si>
    <t>Triflex (U.K.) Limited, Triflex (U.K.) Limited, Triflex (U.K.) Limited, RCS Roofing Limited, Triflex (U.K.) Limited, Triflex (U.K.) Limited, Triflex (U.K.) Limited, GAP Roofing, Triflex (U.K.) Limited</t>
  </si>
  <si>
    <t>Tissue Faced PIR, Tissue Faced PIR, Tissue Faced PIR, Tissue Faced PIR, Tissue Faced PIR, Tissue Faced PIR, Tissue Faced PIR (Prebonded), Tissue Faced PIR, Tissue Faced PIR, Tissue Faced PIR, Tissue Faced PIR, Tissue Faced PIR, Tissue Faced PIR, Tissue Faced PIR, Tissue Faced PIR, Tissue Faced PIR, Tissue Faced PIR, Tissue Faced PIR, Tissue Faced PIR, Tissue Faced PIR, Tissue Faced PIR</t>
  </si>
  <si>
    <t>12937</t>
  </si>
  <si>
    <t>Rowe Court, Reading</t>
  </si>
  <si>
    <t>Rockwool Limited, Alumasc Building Products Limited, Alumasc Building Products Limited, Alumasc Building Products Limited, Alumasc Building Products Limited, ICB (Waterproofing) Ltd, Rockwool Limited, ICB (Waterproofing) Ltd</t>
  </si>
  <si>
    <t>12930</t>
  </si>
  <si>
    <t>Bexley Grammar School</t>
  </si>
  <si>
    <t>Garland, Garland, Acclaim Contracts Limited, Garland, Garland, Garland, Acclaim Contracts Limited, Acclaim Contracts Limited, Garland, Garland, Garland, Garland, Garland, Garland, Garland, Garland, Garland, Garland, Garland, Garland, Garland, Garland, Garland</t>
  </si>
  <si>
    <t>EPS / PIR Torch On (Prebonded), Torch On PIR (Prebonded), EPS / PIR Torch On (Prebonded), EPS / PIR Torch On (Prebonded), Torch On PIR (Prebonded), EPS / PIR Torch On (Prebonded), EPS / PIR Torch On (Prebonded), EPS / PIR Torch On (Prebonded), EPS / PIR Torch On (Prebonded), Torch On PIR, EPS 100 (SPI), Torch On PIR, EPS 100 (SPI), Torch On PIR, EPS 100 (SPI), Torch On PIR, EPS 100 (SPI), Torch On PIR, EPS 100 (SPI), Torch On PIR, EPS 100 (SPI), Torch On PIR, EPS 100 (SPI), Torch On PIR, EPS 100 (SPI), Torch On PIR, EPS 100 (SPI), Torch On PIR, EPS 100 (SPI), Torch On PIR, EPS 100 (SPI), Torch On PIR, EPS 100 (SPI)</t>
  </si>
  <si>
    <t>12927</t>
  </si>
  <si>
    <t>Burgoynes Depot, Melford Road, East Ham, London E6 3RS</t>
  </si>
  <si>
    <t>Moy Materials (UK) Limited, Moy Materials (UK) Limited, Moy Materials (UK) Limited, Moy Materials (UK) Limited, Moy Materials (UK) Limited</t>
  </si>
  <si>
    <t>ROCKWOOL HardRock Multi-Fix (DD), EPS 150 (SPR), ROCKWOOL HardRock Multi-Fix (DD), ROCKWOOL HardRock Multi-Fix (DD), ROCKWOOL HardRock Multi-Fix (DD)</t>
  </si>
  <si>
    <t>12914</t>
  </si>
  <si>
    <t>St Nicolas' C of E School, Maidenhead SL6 0ET</t>
  </si>
  <si>
    <t>Torch On PIR (Prebonded), Torch On PIR (Prebonded), Torch On PIR (Prebonded)</t>
  </si>
  <si>
    <t>12911</t>
  </si>
  <si>
    <t>Lloyds Bank, Ashbourne</t>
  </si>
  <si>
    <t>Tor Coatings Limited</t>
  </si>
  <si>
    <t>12905</t>
  </si>
  <si>
    <t>Nightingale Quarter, Derby</t>
  </si>
  <si>
    <t>Carlisle Construction Materials Ltd, Carlisle Construction Materials Ltd, Carlisle Construction Materials Ltd, Carlisle Construction Materials Ltd, Axter Limited, Axter Limited, Axter Limited, Axter Limited, Axter Limited, Axter Limited, Axter Limited, Axter Limited, Axter Limited</t>
  </si>
  <si>
    <t>Foil Faced PIR, Tissue Faced PIR, Tissue Faced PIR, Foil Faced PIR, Tissue Faced PIR, Tissue Faced PIR, Tissue Faced PIR</t>
  </si>
  <si>
    <t>12890</t>
  </si>
  <si>
    <t>Adeyfield Academy</t>
  </si>
  <si>
    <t>Garland, Higham Flat Roofing Limited, Higham Flat Roofing Limited, Higham Flat Roofing Limited, Garland, Garland, Garland, Higham Flat Roofing Limited, Garland, Garland, Garland, Garland, Garland, Garland, Higham Flat Roofing Limited</t>
  </si>
  <si>
    <t>Torch On PIR (Prebonded), Torch On PIR (Prebonded), Torch On PIR</t>
  </si>
  <si>
    <t>12855</t>
  </si>
  <si>
    <t>Lampton School Academy, Hounslow TW3 4EP</t>
  </si>
  <si>
    <t>Garland, Garland, Garland, Garland, Garland, Garland, Garland, Garland, Garland, Garland, Garland</t>
  </si>
  <si>
    <t>Torch On PIR (Prebonded), Torch On PIR (Prebonded), Torch On PIR, Torch On PIR (Prebonded), Torch On PIR</t>
  </si>
  <si>
    <t>12853</t>
  </si>
  <si>
    <t>Biophilic Living, Swansea</t>
  </si>
  <si>
    <t>12846</t>
  </si>
  <si>
    <t>Coloma Convent Girls School, Croydon. CR9 5AS</t>
  </si>
  <si>
    <t>Garland, Garland, Garland, Garland, Garland, Garland, Garland, Garland, Garland, Garland, Garland, Garland, Garland, Garland</t>
  </si>
  <si>
    <t>Torch On PIR (Prebonded), Torch On PIR, Torch On PIR, Torch On PIR (Prebonded), Torch On PIR (Prebonded), Tissue Faced PIR (Prebonded), Torch On PIR (Prebonded)</t>
  </si>
  <si>
    <t>12843</t>
  </si>
  <si>
    <t>Nova B Central, Commercial Road, Bournemouth</t>
  </si>
  <si>
    <t>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 Westwood Liquid Technologies Limited</t>
  </si>
  <si>
    <t>ROCKWOOL HardRock Multi-Fix (DD), Tissue Faced PIR, Tissue Faced PIR, Tissue Faced PIR (Prebonded), ROCKWOOL HardRock Multi-Fix (DD), Roofblock G1T3+, ROCKWOOL HardRock Multi-Fix (DD), ROCKWOOL HardRock Multi-Fix (DD), ROCKWOOL HardRock Multi-Fix (DD)</t>
  </si>
  <si>
    <t>12834</t>
  </si>
  <si>
    <t>St. Peter’s VA C of E Primary School</t>
  </si>
  <si>
    <t>12821</t>
  </si>
  <si>
    <t>John Mayne C of E Primary School, TN27 8AL</t>
  </si>
  <si>
    <t>Torch On PIR (Prebonded), Torch On PIR (Prebonded), Torch On PIR (Prebonded), Torch On PIR, Torch On PIR, Torch On PIR, Torch On PIR, Torch On PIR</t>
  </si>
  <si>
    <t>12778</t>
  </si>
  <si>
    <t>St. Thomas Becket Catholic PS, SE25 5BN</t>
  </si>
  <si>
    <t>Torch On PIR (Prebonded), Torch On PIR (Prebonded), Torch On PIR (Prebonded), Torch On PIR (Prebonded), Torch On PIR</t>
  </si>
  <si>
    <t>12773</t>
  </si>
  <si>
    <t>The Harvey Grammer School</t>
  </si>
  <si>
    <t>12760</t>
  </si>
  <si>
    <t>Haymarket Yard, Edinburgh, Scotland</t>
  </si>
  <si>
    <t>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 Rockwool Limited (Bauder)</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</si>
  <si>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</si>
  <si>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12730</t>
  </si>
  <si>
    <t>Jarrow Hall, NE32</t>
  </si>
  <si>
    <t>AccuRoof, AccuRoof, AccuRoof, AccuRoof, AccuRoof, AccuRoof, AccuRoof, AccuRoof, AccuRoof, AccuRoof, AccuRoof, AccuRoof, AccuRoof, AccuRoof, AccuRoof, AccuRoof, AccuRoof, AccuRoof, AccuRoof, AccuRoof, AccuRoof, AccuRoof, AccuRoof, John Flowers Ltd</t>
  </si>
  <si>
    <t>Torch On PIR, Torch On PIR, Torch On PIR, Torch On PIR, Tissue Faced PIR, Tissue Faced PIR, Tissue Faced PIR, Tissue Faced PIR, Tissue Faced PIR, Tissue Faced PIR, Torch On PIR, Tissue Faced PIR, Torch On PIR, Torch On PIR, Torch On PIR, Torch On PIR, Torch On PIR, Torch On PIR, Torch On PIR, Torch On PIR, Torch On PIR</t>
  </si>
  <si>
    <t>12727</t>
  </si>
  <si>
    <t>150-153 Fenchurch Street, London</t>
  </si>
  <si>
    <t>12693</t>
  </si>
  <si>
    <t>Aston Martin F1 Building 2, Silverstone - Link Bridge</t>
  </si>
  <si>
    <t>Rockwool Limited (Bauder), Rockwool Limited (Bauder), Rockwool Limited (Bauder), Axter Limited, Rockwool Limited (Bauder), Rockwool Limited (Bauder), Rockwool Limited (Bauder), Rockwool Limited (Bauder), Rockwool Limited (Bauder), Rockwool Limited (Bauder), Rockwool Limited (Bauder)</t>
  </si>
  <si>
    <t>12671</t>
  </si>
  <si>
    <t>St Mary's Grove Garages</t>
  </si>
  <si>
    <t>ICB (Waterproofing) Ltd, ICB (Waterproofing) Ltd, ICB (Waterproofing) Ltd, ICB (Waterproofing) Ltd, ICB (Waterproofing) Ltd, ICB (Waterproofing) Ltd, ICB (Waterproofing) Ltd</t>
  </si>
  <si>
    <t>Tissue Faced PIR, Tissue Faced PIR (Prebonded), Tissue Faced PIR, Tissue Faced PIR (Prebonded), Tissue Faced PIR (Prebonded), Tissue Faced PIR (Prebonded), Tissue Faced PIR (Prebonded)</t>
  </si>
  <si>
    <t>12666</t>
  </si>
  <si>
    <t>Belsize Studios, 81, LONDON, NW34NJ</t>
  </si>
  <si>
    <t>ROCKWOOL HardRock Multi-Fix (DD), ROCKWOOL HardRock Multi-Fix (DD), ROCKWOOL HardRock Multi-Fix (DD), ROCKWOOL HardRock Multi-Fix (DD), ROCKWOOL HardRock Multi-Fix (DD), ROCKWOOL HardRock Multi-Fix (DD), ROCKWOOL HardRock Multi-Fix (DD), ROCKWOOL HardRock Multi-Fix (DD), ROCKWOOL HardRock Multi-Fix (DD)</t>
  </si>
  <si>
    <t>12649</t>
  </si>
  <si>
    <t>Broad Oaks</t>
  </si>
  <si>
    <t>Galaxy Insulation And Dry Lining Limited, Galaxy Insulation And Dry Lining Limited, Galaxy Insulation And Dry Lining Limited, Galaxy Insulation And Dry Lining Limited, Galaxy Insulation And Dry Lining Limited, Galaxy Insulation And Dry Lining Limited, Galaxy Insulation And Dry Lining Limited, Galaxy Insulation And Dry Lining Limited, Galaxy Insulation And Dry Lining Limited, Galaxy Insulation And Dry Lining Limited</t>
  </si>
  <si>
    <t>Tissue Faced PIR, Tissue Faced PIR (Prebonded), Tissue Faced PIR, Tissue Faced PIR, Tissue Faced PIR, Tissue Faced PIR, Tissue Faced PIR, Tissue Faced PIR, Tissue Faced PIR (Prebonded), Tissue Faced PIR (Prebonded)</t>
  </si>
  <si>
    <t>12616</t>
  </si>
  <si>
    <t>Velindre Cancer Centre, Cardiff</t>
  </si>
  <si>
    <t>Axter Limited, Axter Limited, Guaranteed Asphalt Limited, Axter Limited, Axter Limited, Guaranteed Asphalt Limited, Guaranteed Asphalt Limited, Axter Limited, Axter Limited, Axter Limited, Axter Limited, Axter Limited, Guaranteed Asphalt Limited, Axter Limited, Axter Limited, Rockwool Limited, Guaranteed Asphalt Limited, Guaranteed Asphalt Limited, Axter Limited, Guaranteed Asphalt Limited, Guaranteed Asphalt Limited, Guaranteed Asphalt Limited, Guaranteed Asphalt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</si>
  <si>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ROCKWOOL HardRock Multi-Fix (DD), ROCKWOOL HardRock Multi-Fix (DD), Tissue Faced PIR, ROCKWOOL HardRock Multi-Fix (DD), ROCKWOOL HardRock Multi-Fix (DD), ROCKWOOL HardRock Multi-Fix (DD), Tissue Faced PIR, ROCKWOOL HardRock Multi-Fix (DD), Inverted EPS, Roofblock G1T3+, ROCKWOOL HardRock Multi-Fix (DD), Torch On PIR, Tissue Faced PIR, Tissue Faced PIR, ROCKWOOL HardRock Multi-Fix (DD), Torch On PIR, Torch On PIR, Tissue Faced PIR, ROCKWOOL HardRock Multi-Fix (DD), ROCKDeck, ROCKDeck, ROCKWOOL HardRock Multi-Fix (DD),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</si>
  <si>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12607</t>
  </si>
  <si>
    <t>Beaconsfield Road, Southall</t>
  </si>
  <si>
    <t>12568</t>
  </si>
  <si>
    <t>The British Museum WC1B 3DG</t>
  </si>
  <si>
    <t>Rockwool Limited (Bauder), Westwood Roofing Ltd, Westwood Roofing Ltd</t>
  </si>
  <si>
    <t>12541</t>
  </si>
  <si>
    <t>Barton Road, Comberton</t>
  </si>
  <si>
    <t>Torch On PIR, EPS / PIR Torch On</t>
  </si>
  <si>
    <t>12538</t>
  </si>
  <si>
    <t>University of Glasgow - Library Building</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</si>
  <si>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</si>
  <si>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12502</t>
  </si>
  <si>
    <t>8 Halfpenny Bridge (Isle of Skye)</t>
  </si>
  <si>
    <t>Rockwool Limited, Ultimate Insulation Supplies Ltd.</t>
  </si>
  <si>
    <t>ROCKWOOL HardRock Multi-Fix (DD), Tissue Faced PIR</t>
  </si>
  <si>
    <t>12470</t>
  </si>
  <si>
    <t>The Maltings, Nailsworth</t>
  </si>
  <si>
    <t>ICB (Waterproofing) Ltd, ICB (Waterproofing) Ltd, ICB (Waterproofing) Ltd, ICB (Waterproofing) Ltd, ICB (Waterproofing) Ltd, ICB (Waterproofing) Ltd, ICB (Waterproofing) Ltd, ICB (Waterproofing) Ltd, ICB (Waterproofing) Ltd, ICB (Waterproofing) Ltd, ICB (Waterproofing) Ltd, ICB (Waterproofing) Ltd, ICB (Waterproofing) Ltd</t>
  </si>
  <si>
    <t>Tissue Faced PIR, Tissue Faced PIR (Prebonded), Tissue Faced PIR (Prebonded), Tissue Faced PIR (Prebonded), Tissue Faced PIR (Prebonded), Tissue Faced PIR (Prebonded), Tissue Faced PIR (Prebonded), Tissue Faced PIR (Prebonded), Tissue Faced PIR (Prebonded), Tissue Faced PIR, Tissue Faced PIR, Tissue Faced PIR, Tissue Faced PIR</t>
  </si>
  <si>
    <t>12469</t>
  </si>
  <si>
    <t>Christie Hospital</t>
  </si>
  <si>
    <t>12461</t>
  </si>
  <si>
    <t>The Grange Estate - High Road and Central Avenue</t>
  </si>
  <si>
    <t>Tissue Faced PIR, Roofblock G1T3+, Roofblock G1T3+, Tissue Faced PIR, Tissue Faced PIR, Tissue Faced PIR</t>
  </si>
  <si>
    <t>12443</t>
  </si>
  <si>
    <t>Valnord Warehouse</t>
  </si>
  <si>
    <t>12360</t>
  </si>
  <si>
    <t>Wates - Rodney St, Manchester</t>
  </si>
  <si>
    <t>AccuRoof, AccuRoof, Rockwool Limited, Rockwool Limited, AccuRoof, AccuRoof, AccuRoof, AccuRoof, AccuRoof, AccuRoof</t>
  </si>
  <si>
    <t>Enertherm, Tissue Faced PIR (Prebonded), ROCKWOOL HardRock Multi-Fix (DD), ROCKWOOL HardRock Multi-Fix (DD), Enertherm, Enertherm, Enertherm, ROCKWOOL HardRock Multi-Fix (DD), ROCKWOOL HardRock Multi-Fix (DD), ROCKWOOL HardRock Multi-Fix (DD)</t>
  </si>
  <si>
    <t>12300</t>
  </si>
  <si>
    <t>The Old Vic Theatre, London</t>
  </si>
  <si>
    <t>Axter Limited, Axter Limited, Axter Limited, Siltec Waterproofing Solutions LTD, Axter Limited, Axter Limited, Axter Limited, Axter Limited, Axter Limited, Axter Limited</t>
  </si>
  <si>
    <t>12298</t>
  </si>
  <si>
    <t>Olympia Emberton House</t>
  </si>
  <si>
    <t>AccuRoof, AccuRoof, AccuRoof, AccuRoof, AccuRoof, AccuRoof, AccuRoof, AccuRoof, AccuRoof</t>
  </si>
  <si>
    <t>Torch On PIR, ROCKWOOL HardRock Multi-Fix (DD), Tissue Faced PIR, ROCKWOOL HardRock Multi-Fix (DD), Tissue Faced PIR, Tissue Faced PIR, Tissue Faced PIR, Tissue Faced PIR</t>
  </si>
  <si>
    <t>12276</t>
  </si>
  <si>
    <t>Fife College, Duloch, Scottish Borders, Scotland, KY11 8ZD</t>
  </si>
  <si>
    <t>12273</t>
  </si>
  <si>
    <t>Trinity House, Wembley</t>
  </si>
  <si>
    <t>Galaxy Insulation And Dry Lining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</si>
  <si>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Tissue Faced PIR, VIPs, Tissue Faced PIR, VIPs, Tissue Faced PIR, Tissue Faced PIR, Tissue Faced PIR, Tissue Faced PIR, Tissue Faced PIR, Tissue Faced PIR, Water Filtration Layer, VIPs, XPS, Tissue Faced PIR, Tissue Faced PIR, Tissue Faced PIR, Tissue Faced PIR, Inverted VIPs, Tissue Faced PIR, Water Filtration Layer, Inverted VIPs, Water Filtration Layer, XPS, Tissue Faced PIR</t>
  </si>
  <si>
    <t>12259</t>
  </si>
  <si>
    <t>Polygon Street, Manchester M</t>
  </si>
  <si>
    <t>SIG Trading Limited, AccuRoof, AccuRoof, AccuRoof, AccuRoof, SIG Trading Limited, SIG Trading Limited, SIG Trading Limited, SIG Trading Limited, Permaroof (UK) Limited, Permaroof (UK) Limited, Permaroof (UK) Limited, Permaroof (UK) Limited</t>
  </si>
  <si>
    <t>Torch On PIR, Tissue Faced PIR, Torch On PIR, Torch On PIR, Torch On PIR, Torch On PIR, Torch On PIR, Torch On PIR, Torch On PIR, Tissue Faced PIR, Tissue Faced PIR, Tissue Faced PIR, VIPs</t>
  </si>
  <si>
    <t>12254</t>
  </si>
  <si>
    <t>Gamecock Barracks, Nuneaton</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</si>
  <si>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</si>
  <si>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Tissue Faced PIR, Tissue Faced PIR (Prebonded), Tissue Faced PIR, Tissue Faced PIR, Tissue Faced PIR, Tissue Faced PIR, Tissue Faced PIR, Tissue Faced PIR, Tissue Faced PIR, Tissue Faced PIR, Tissue Faced PIR, Tissue Faced PIR</t>
  </si>
  <si>
    <t>12252</t>
  </si>
  <si>
    <t>Oregon Timber</t>
  </si>
  <si>
    <t>12241</t>
  </si>
  <si>
    <t>1 Golden Lane, Barbican, London EC1Y 0RR</t>
  </si>
  <si>
    <t>Rockwool Limited, Axter Limited, Axter Limited, Axter Limited, Axter Limited, Axter Limited, Axter Limited, Axter Limited, Axter Limited, Axter Limited, Axter Limited, Axter Limited, Axter Limited</t>
  </si>
  <si>
    <t>ROCKWOOL HardRock Multi-Fix (DD), Tissue Faced PIR, Tissue Faced PIR, ROCKWOOL HardRock Multi-Fix (DD), Tissue Faced PIR, Tissue Faced PIR, Tissue Faced PIR, Tissue Faced PIR, ROCKWOOL HardRock Multi-Fix (DD), Tissue Faced PIR, Tissue Faced PIR, Tissue Faced PIR, Tissue Faced PIR</t>
  </si>
  <si>
    <t>12237</t>
  </si>
  <si>
    <t>Luxborough Street, Westminster, London W1U 5BN</t>
  </si>
  <si>
    <t>12235</t>
  </si>
  <si>
    <t>Paxton Lane, 30 Artillery Lane</t>
  </si>
  <si>
    <t>12234</t>
  </si>
  <si>
    <t>Pond Close, Wiltshire</t>
  </si>
  <si>
    <t>Axter Limited, Axter Limited, Axter Limited, Axter Limited, Proactive Roofing Solutions Ltd, Axter Limited, Axter Limited, Axter Limited, Axter Limited, Axter Limited, Axter Limited, Axter Limited</t>
  </si>
  <si>
    <t>12228</t>
  </si>
  <si>
    <t>Varley Street SEN School</t>
  </si>
  <si>
    <t>Rockwool Limited (Bauder), SIG Distribution, Rockwool Limited, Rockwool Limited (Bauder), Rockwool Limited (Bauder)</t>
  </si>
  <si>
    <t>12213</t>
  </si>
  <si>
    <t>Victoria Infirmary, Grange Road, Glasgow, G42 9LF</t>
  </si>
  <si>
    <t>12209</t>
  </si>
  <si>
    <t>111 Buckingham Avenue, Slough Trading Estate</t>
  </si>
  <si>
    <t>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</si>
  <si>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12134</t>
  </si>
  <si>
    <t>OAKLANDS PARK, WICK LANE</t>
  </si>
  <si>
    <t>Tissue Faced PIR, Tissue Faced PIR, Tissue Faced PIR, Foil Faced PIR, Foil Faced PIR, Foil Faced PIR</t>
  </si>
  <si>
    <t>12096</t>
  </si>
  <si>
    <t>Project KL, HEREFORD</t>
  </si>
  <si>
    <t>12068</t>
  </si>
  <si>
    <t>Climate innovation district Leeds</t>
  </si>
  <si>
    <t>Sothall Roofing Specialists Limited, Protech Roofing Ltd, Sothall Roofing Specialists Limited, Sothall Roofing Specialists Limited, Protech Roofing Ltd, Sothall Roofing Specialists Limited</t>
  </si>
  <si>
    <t>Foil Faced PIR, Tissue Faced PIR, Foil Faced PIR, Foil Faced PIR, Tissue Faced PIR, Foil Faced PIR</t>
  </si>
  <si>
    <t>12048</t>
  </si>
  <si>
    <t>Crosspoint House, Wallington, SM6 9AA</t>
  </si>
  <si>
    <t>Axter Limited, MW Contracts (Roofing) Limited, Chandlers  Roofing, Langley Waterproofing Systems Limited, Axter Limited, FATRA UK LTD, Chandlers  Roofing, Chandlers  Roofing, Chandlers  Roofing, Chandlers  Roofing, Chandlers  Roofing, FATRA UK LTD, FATRA UK LTD, FATRA UK LTD, Rockwool Limited, Chandlers  Roofing, Chandlers  Roofing, Chandlers  Roofing</t>
  </si>
  <si>
    <t>ROCKWOOL HardRock Multi-Fix (DD), Foil Faced PIR, Tissue Faced PIR, ROCKWOOL HardRock Multi-Fix (DD), ROCKDeck, Foil Faced PIR, ROCKWOOL HardRock Multi-Fix (DD), ROCKWOOL HardRock Multi-Fix (DD), Foil Faced PIR, ROCKWOOL HardRock Multi-Fix (DD), Foil Faced PIR, Foil Faced PIR, ROCKWOOL HardRock Multi-Fix (DD), Foil Faced PIR, Foil Faced PIR, Foil Faced PIR, ROCKWOOL HardRock Multi-Fix (DD)</t>
  </si>
  <si>
    <t>12037</t>
  </si>
  <si>
    <t>Department Of Psychiatry Reprovision, Mount View Street, Bexhill-On-Sea, East Sussex</t>
  </si>
  <si>
    <t>Rockwool Limited (Bauder), Rockwool Limited (Bauder), Rockwool Limited (Bauder), Rockwool Limited (Bauder), Rockwool Limited, Rockwool Limited (Bauder), Rockwool Limited (Bauder), Rockwool Limited (Bauder), Rockwool Limited (Bauder)</t>
  </si>
  <si>
    <t>12034</t>
  </si>
  <si>
    <t>Plumstead Fire Station</t>
  </si>
  <si>
    <t>Kent Asphalt Ltd, Widopan Limited, Kent Asphalt Ltd, Kent Asphalt Ltd, Kent Asphalt Ltd, Widopan Limited, Widopan Limited, Kent Asphalt Ltd, Kent Asphalt Ltd</t>
  </si>
  <si>
    <t>12004</t>
  </si>
  <si>
    <t>Ampfield Meadows, Baddesley Road, England, SO52 9BH</t>
  </si>
  <si>
    <t>Rockwool Limited (Bauder), Rockwool Limited, Rockwool Limited, Rockwool Limited, Rockwool Limited, Rockwool Limited (Bauder), Rockwool Limited</t>
  </si>
  <si>
    <t>11906</t>
  </si>
  <si>
    <t>Commercial Road, Tower Hamlets, London</t>
  </si>
  <si>
    <t>Tissue Faced PIR, VIPs, VIPs, Tissue Faced PIR, VIPs, Tissue Faced PIR, Tissue Faced PIR, Tissue Faced PIR, Tissue Faced PIR, Tissue Faced PIR, Tissue Faced PIR</t>
  </si>
  <si>
    <t>11893</t>
  </si>
  <si>
    <t>Glencadam, BRECHIN, Scotland DD9 7PA</t>
  </si>
  <si>
    <t>11718</t>
  </si>
  <si>
    <t>REALITY, Shelton Street, London</t>
  </si>
  <si>
    <t>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</si>
  <si>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ROCKWOOL HardRock Multi-Fix (DD), Torch On PIR, ROCKWOOL HardRock Multi-Fix (DD), ROCKWOOL HardRock Multi-Fix (DD), ROCKWOOL HardRock Multi-Fix (DD), Tissue Faced PIR,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</si>
  <si>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11712</t>
  </si>
  <si>
    <t>Will Wyatt Court, Pitfield Street, LONDON N1 6JP</t>
  </si>
  <si>
    <t>Rockwool Limited, Rockwool Limited (Bauder), Rockwool Limited (Bauder), Rockwool Limited (Bauder), Rockwool Limited (Bauder)</t>
  </si>
  <si>
    <t>11701</t>
  </si>
  <si>
    <t>Eastgate Shopping Centre, Gloucester</t>
  </si>
  <si>
    <t>11674</t>
  </si>
  <si>
    <t>Stevenage Road, Knebworth - FT2</t>
  </si>
  <si>
    <t>11666</t>
  </si>
  <si>
    <t>Travelodge, Cardiff</t>
  </si>
  <si>
    <t>Tor Coatings Limited, Tor Coatings Limited, Tor Coatings Limited, Tor Coatings Limited, Tor Coatings Limited, Tor Coatings Limited, Alumasc Building Products Limited, Alumasc Building Products Limited, Rockwool Limited (Bauder), Tor Coatings Limited, Tor Coatings Limited</t>
  </si>
  <si>
    <t>ROCKWOOL HardRock Multi-Fix (DD), Tissue Faced PIR, Foil Faced PIR, Foil Faced PIR, Tissue Faced PIR, ROCKWOOL HardRock Multi-Fix (DD), ROCKWOOL HardRock Multi-Fix (DD), ROCKWOOL HardRock Multi-Fix (DD), ROCKWOOL HardRock Multi-Fix (DD), ROCKWOOL HardRock Multi-Fix (DD), ROCKWOOL HardRock Multi-Fix (DD)</t>
  </si>
  <si>
    <t>11602</t>
  </si>
  <si>
    <t>Bedminster Green</t>
  </si>
  <si>
    <t>Axter Limited, BMI GROUP UK LIMITED, Rockwool Limited, Axter Limited, Axter Limited, Axter Limited, SPS Flat Roof System Ltd T/A,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</si>
  <si>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Tissue Faced PIR, ROCKWOOL HardRock Multi-Fix (DD), ROCKWOOL HardRock Multi-Fix (DD), ROCKWOOL HardRock Multi-Fix (DD), Tissue Faced PIR, Tissue Faced PIR, ROCKWOOL HardRock Multi-Fix (DD), ROCKWOOL HardRock Multi-Fix (DD), ROCKWOOL HardRock Multi-Fix (DD), ROCKWOOL HardRock Multi-Fix (DD)</t>
  </si>
  <si>
    <t>11555</t>
  </si>
  <si>
    <t>The Forum, Kensington</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</si>
  <si>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</si>
  <si>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ROCKWOOL HardRock Multi-Fix (DD), Roofblock G1T3+,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</si>
  <si>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11550</t>
  </si>
  <si>
    <t>Dulwich Picture Gallery</t>
  </si>
  <si>
    <t>Rockwool Limited, Rockwool Limited, Rockwool Limited (Bauder), Rockwool Limited, Rockwool Limited (Bauder), Rockwool Limited (Bauder)</t>
  </si>
  <si>
    <t>11458</t>
  </si>
  <si>
    <t>Bannockburn Asn</t>
  </si>
  <si>
    <t>Rockwool Limited (Bauder), BMI GROUP UK LIMITED, Rockwool Limited (Bauder)</t>
  </si>
  <si>
    <t>11428</t>
  </si>
  <si>
    <t>Central Middlesex Hospital</t>
  </si>
  <si>
    <t>11395</t>
  </si>
  <si>
    <t>The Mall, Walthamstow</t>
  </si>
  <si>
    <t>Tissue Faced PIR, Tissue Faced PIR, Tissue Faced PIR, Tissue Faced PIR, Tissue Faced PIR, Tissue Faced PIR (Prebonded), Tissue Faced PIR, ROCKWOOL HardRock Multi-Fix (DD), Tissue Faced PIR, Tissue Faced PIR, Tissue Faced PIR, ROCKWOOL HardRock Multi-Fix (DD), ROCKWOOL HardRock Multi-Fix (DD)</t>
  </si>
  <si>
    <t>11363</t>
  </si>
  <si>
    <t>Lower Gilmore Place</t>
  </si>
  <si>
    <t>MBM Roofing (EK) Limited, MBM Roofing (EK) Limited, MBM Roofing (EK) Limited, MBM Roofing (EK) Limited, MBM Roofing (EK) Limited, Rockwool Limited (Bauder)</t>
  </si>
  <si>
    <t>Foil Faced PIR, ROCKWOOL HardRock Multi-Fix (DD), ROCKWOOL HardRock Multi-Fix (DD), Foil Faced PIR, Foil Faced PIR, ROCKWOOL HardRock Multi-Fix (DD)</t>
  </si>
  <si>
    <t>11351</t>
  </si>
  <si>
    <t>Stevenage Road, Knebworth, Plots 43-64</t>
  </si>
  <si>
    <t>Axter Limited, Salmon Solutions, Salmon Solutions, Axter Limited, Salmon Solutions, Salmon Solutions, Salmon Solutions, Axter Limited, Axter Limited, Axter Limited, Axter Limited, Axter Limited, Axter Limited, Axter Limited, Axter Limited, Axter Limited, Axter Limited, Axter Limited, Axter Limited, Axter Limited</t>
  </si>
  <si>
    <t>11341</t>
  </si>
  <si>
    <t>Silkstream Hendon</t>
  </si>
  <si>
    <t>Tremco CPG UK Limited, Tremco CPG UK Limited, Tremco CPG UK Limited, Quantum Insulation, Quantum Insulation, Tremco CPG UK Limited, Tremco CPG UK Limited, structure care, structure care, structure care, Quantum Insulation, Quantum Insulation</t>
  </si>
  <si>
    <t>Tissue Faced PIR, VIPs, VIPs, VIPs, ROCKWOOL HardRock Multi-Fix (DD), VIPs, VIPs, Tissue Faced PIR, VIPs, Tissue Faced PIR, VIPs</t>
  </si>
  <si>
    <t>11270</t>
  </si>
  <si>
    <t>Bramley Vale Primary School</t>
  </si>
  <si>
    <t>11256</t>
  </si>
  <si>
    <t>West Quay Marina, Poole</t>
  </si>
  <si>
    <t>11238</t>
  </si>
  <si>
    <t>Buckingham New University</t>
  </si>
  <si>
    <t>Axter Limited, BMI GROUP UK LIMITED, BMI GROUP UK LIMITED</t>
  </si>
  <si>
    <t>Tissue Faced PIR, Torch On PIR, Torch On PIR (Prebonded)</t>
  </si>
  <si>
    <t>11181</t>
  </si>
  <si>
    <t>East Wick &amp; Sweetwater (EW+S) - Block 5605</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</si>
  <si>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AccuRoof, Axter Limited, Axter Limited, AccuRoof, AccuRoof, AccuRoof, AccuRoof, AccuRoof, AccuRoof, AccuRoof,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</si>
  <si>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Tissue Faced PIR, Tissue Faced PIR, Tissue Faced PIR, VIPs, Tissue Faced PIR, Tissue Faced PIR, Tissue Faced PIR, Tissue Faced PIR, VIPs, Tissue Faced PIR, Tissue Faced PIR, Tissue Faced PIR, Tissue Faced PIR, Tissue Faced PIR, Tissue Faced PIR, Tissue Faced PIR, Tissue Faced PIR, Tissue Faced PIR, Tissue Faced PIR, VIPs, Tissue Faced PIR, Tissue Faced PIR, Tissue Faced PIR, VIPs, Tissue Faced PIR, Tissue Faced PIR, Tissue Faced PIR, Tissue Faced PIR, Tissue Faced PIR, Tissue Faced PIR, Tissue Faced PIR, VIPs, Tissue Faced PIR, Tissue Faced PIR, Tissue Faced PIR, Tissue Faced PIR, Tissue Faced PIR, Tissue Faced PIR, VIPs, Tissue Faced PIR, Tissue Faced PIR, Tissue Faced PIR, Tissue Faced PIR, Tissue Faced PIR, Tissue Faced PIR, Tissue Faced PIR, Tissue Faced PIR, Tissue Faced PIR, VIPs, Tissue Faced PIR, VIPs, Tissue Faced PIR, VIPs, Tissue Faced PIR, VIPs, Tissue Faced PIR</t>
  </si>
  <si>
    <t>11088</t>
  </si>
  <si>
    <t>Lightbody Street</t>
  </si>
  <si>
    <t>Minster Truro, MAC Roofing, MAC Roofing, Minster Truro, Minster Truro, Minster Truro, Saint-Gobain Building Distribution Ltd T/A Minster, Minster Truro, Minster Truro, Minster Truro, CCF Limited, MAC Roofing, MAC Roofing, MAC Roofing, Minster Truro, Minster Truro, CCF Limited</t>
  </si>
  <si>
    <t>Tissue Faced PIR, Tissue Faced PIR, Tissue Faced PIR, Tissue Faced PIR, Tissue Faced PIR, Tissue Faced PIR, Tissue Faced PIR, Tissue Faced PIR, Tissue Faced PIR, Tissue Faced PIR, Tissue Faced PIR, Tissue Faced PIR, Tissue Faced PIR, Roofblock G1T3+, Tissue Faced PIR, Tissue Faced PIR, Tissue Faced PIR</t>
  </si>
  <si>
    <t>11075</t>
  </si>
  <si>
    <t>Plots 18 &amp; 19 (land off Pulling Road), EXETER, Devon</t>
  </si>
  <si>
    <t>ICB (Waterproofing) Ltd, ICB (Waterproofing) Ltd, ICB (Waterproofing) Ltd, ICB (Waterproofing) Ltd, ICB (Waterproofing) Ltd, ICB (Waterproofing) Ltd, ICB (Waterproofing) Ltd, ICB (Waterproofing) Ltd, ICB (Waterproofing) Ltd, ICB (Waterproofing) Ltd, ICB (Waterproofing) Ltd, ICB (Waterproofing) Ltd, ICB (Waterproofing) Ltd, ICB (Waterproofing) Ltd, ICB (Waterproofing) Ltd, ICB (Waterproofing) Ltd, ICB (Waterproofing) Ltd</t>
  </si>
  <si>
    <t>Tissue Faced PIR (Prebonded), EPS/PIR Tissue Faced, EPS/PIR Tissue Faced, EPS/PIR Tissue Faced, EPS/PIR Tissue Faced, EPS/PIR Tissue Faced, EPS/PIR Tissue Faced, EPS/PIR Tissue Faced, EPS/PIR Tissue Faced, EPS/PIR Tissue Faced, EPS/PIR Tissue Faced, EPS/PIR Tissue Faced, EPS/PIR Tissue Faced, Tissue Faced PIR</t>
  </si>
  <si>
    <t>11044</t>
  </si>
  <si>
    <t>The Piggott School</t>
  </si>
  <si>
    <t>Garland, Garland, Garland, Garland, Garland, Garland, Garland, Garland, Garland, Garland, Cambridge Flat Roofing Company Limited, Cambridge Flat Roofing Company Limited, Cambridge Flat Roofing Company Limited, Cambridge Flat Roofing Company Limited, Cambridge Flat Roofing Company Limited, Cambridge Flat Roofing Company Limited, Cambridge Flat Roofing Company Limited, Cambridge Flat Roofing Company Limited, Cambridge Flat Roofing Company Limited, Cambridge Flat Roofing Company Limited, Garland</t>
  </si>
  <si>
    <t>Torch On PIR (Prebonded), Torch On PIR, Torch On PIR, Torch On PIR, Torch On PIR, Torch On PIR, Torch On PIR, Torch On PIR (Prebonded), Torch On PIR (Prebonded), Torch On PIR, Torch On PIR (Prebonded)</t>
  </si>
  <si>
    <t>11035</t>
  </si>
  <si>
    <t>The Octagon</t>
  </si>
  <si>
    <t>10889</t>
  </si>
  <si>
    <t>Bedlington Marketplace</t>
  </si>
  <si>
    <t>10864</t>
  </si>
  <si>
    <t>North Kensington Gate 129A Scrubs Lane</t>
  </si>
  <si>
    <t>Moy Materials (UK) Limited, Moy Materials (UK) Limited, Moy Materials (UK) Limited, Moy Materials (UK) Limited, Axter Limited, Axter Limited, Rockwool Limited, Rockwool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Axter Limited, Axter Limited, Axter Limited, Axter Limited</t>
  </si>
  <si>
    <t>Torch On PIR, ROCKWOOL HardRock Multi-Fix (DD), Torch On PIR, Torch On PIR, ROCKWOOL HardRock Multi-Fix (DD), ROCKWOOL HardRock Multi-Fix (DD), ROCKDeck, ROCKWOOL HardRock Multi-Fix (DD),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 Torch On PIR</t>
  </si>
  <si>
    <t>10725</t>
  </si>
  <si>
    <t>181 Talgarth Road</t>
  </si>
  <si>
    <t>10716</t>
  </si>
  <si>
    <t>Chiswick School</t>
  </si>
  <si>
    <t>Garland, Kingsley Roofing (London) Limited, Garland, Garland, Garland, Garland, Garland, Garland, Garland, Garland, Garland, Garland, Garland, Garland, Garland, Garland, Garland, Garland, Garland</t>
  </si>
  <si>
    <t>Torch On PIR, Torch On PIR (Prebonded), Torch On PIR, Torch On PIR (Prebonded), Torch On PIR (Prebonded), Torch On PIR, EPS / PIR Torch On (Prebonded), Torch On PIR (Prebonded), Torch On PIR (Prebonded), Torch On PIR (Prebonded), Torch On PIR, Torch On PIR (Prebonded), Torch On PIR (Prebonded)</t>
  </si>
  <si>
    <t>10709</t>
  </si>
  <si>
    <t>Parkside St. Peter's, Plough Rd, Phase 2</t>
  </si>
  <si>
    <t>10671</t>
  </si>
  <si>
    <t>Intake Farm Primary School</t>
  </si>
  <si>
    <t>BMI GROUP UK LIMITED, BMI GROUP UK LIMITED, BMI GROUP UK LIMITED, BMI GROUP UK LIMITED</t>
  </si>
  <si>
    <t>Torch On PIR (Prebonded), Torch On PIR (Prebonded), Torch On PIR (Prebonded), Torch On PIR (Prebonded)</t>
  </si>
  <si>
    <t>10640</t>
  </si>
  <si>
    <t>Mr &amp; Mrs Bodsworth</t>
  </si>
  <si>
    <t>10592</t>
  </si>
  <si>
    <t>Motcomb, EPS Fire Station, East Pilgrim Street</t>
  </si>
  <si>
    <t>Tissue Faced PIR (Prebonded), Tissue Faced PIR, Tissue Faced PIR, Tissue Faced PIR, Tissue Faced PIR, Tissue Faced PIR, Tissue Faced PIR, Tissue Faced PIR, Tissue Faced PIR, Tissue Faced PIR, Tissue Faced PIR (Prebonded), Tissue Faced PIR, Tissue Faced PIR, Tissue Faced PIR, Tissue Faced PIR, Tissue Faced PIR, Tissue Faced PIR, Tissue Faced PIR, Tissue Faced PIR (Prebonded), Tissue Faced PIR, Tissue Faced PIR, Tissue Faced PIR, Tissue Faced PIR, Tissue Faced PIR, Tissue Faced PIR, Tissue Faced PIR</t>
  </si>
  <si>
    <t>10508</t>
  </si>
  <si>
    <t>Earlsmead Primary School, Harrow. HA2 8PW</t>
  </si>
  <si>
    <t>Garland, Garland, Garland, Garland, Garland, Garland, Garland, Garland, Garland, Garland, Garland, Garland, Garland</t>
  </si>
  <si>
    <t>Torch On PIR (Prebonded), Torch On PIR (Prebonded), Torch On PIR (Prebonded), Torch On PIR (Prebonded), Torch On PIR (Prebonded)</t>
  </si>
  <si>
    <t>10493</t>
  </si>
  <si>
    <t>City View House</t>
  </si>
  <si>
    <t>Premier Roofing Systems LTD, Garland, Garland, Garland, Garland, Garland, Garland</t>
  </si>
  <si>
    <t>10487</t>
  </si>
  <si>
    <t>St Georges Hospital - New ICU, Vanguard St Georges, LONDON</t>
  </si>
  <si>
    <t>Rockwool Limited (Bauder), Rockwool Limited (Bauder), Rockwool Limited (Bauder), MOY MATERIALS (NORTHERN) LTD (DO NOT USE - Dissolved), Axter Limited, Axter Limited, Rockwool Limited (Bauder), Rockwool Limited (Bauder), Rockwool Limited (Bauder), Rockwool Limited (Bauder), Rockwool Limited (Bauder), Axter Limited, Rockwool Limited (Bauder), Rockwool Limited (Bauder), Rockwool Limited (Bauder)</t>
  </si>
  <si>
    <t>ROCKWOOL HardRock Multi-Fix (DD), ROCKWOOL HardRock Multi-Fix (DD), ROCKWOOL HardRock Multi-Fix (DD), ROCKWOOL HardRock Multi-Fix (DD), ROCKWOOL HardRock Multi-Fix (DD), ROCKDeck, ROCKWOOL HardRock Multi-Fix (DD), ROCKWOOL HardRock Multi-Fix (DD), ROCKWOOL HardRock Multi-Fix (DD), ROCKWOOL HardRock Multi-Fix (DD), ROCKWOOL HardRock Multi-Fix (DD), Roofblock G1T3+, ROCKWOOL HardRock Multi-Fix (DD), ROCKWOOL HardRock Multi-Fix (DD), ROCKWOOL HardRock Multi-Fix (DD)</t>
  </si>
  <si>
    <t>10473</t>
  </si>
  <si>
    <t>196 A Cromwell Road</t>
  </si>
  <si>
    <t>Optimal Roofing Solutions Ltd, Axter Limited, Optimal Roofing Solutions Ltd</t>
  </si>
  <si>
    <t>10460</t>
  </si>
  <si>
    <t>Hallwood House, Kestrel Road, Chatham</t>
  </si>
  <si>
    <t>Moy Materials (UK) Limited, Rockwool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</si>
  <si>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10403</t>
  </si>
  <si>
    <t>227‐255 Ilderton Road, SE15 1NS</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</si>
  <si>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Rockwool Limited (Bauder),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</si>
  <si>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ROCKWOOL HardRock Multi-Fix (DD), Tissue Faced PIR, Tissue Faced PIR, Tissue Faced PIR, Tissue Faced PIR, ROCKWOOL HardRock Multi-Fix (DD), ROCKWOOL HardRock Multi-Fix (DD), ROCKWOOL HardRock Multi-Fix (DD), ROCKWOOL HardRock Multi-Fix (DD), ROCKWOOL HardRock Multi-Fix (DD), ROCKWOOL HardRock Multi-Fix (DD), ROCKWOOL HardRock Multi-Fix (DD), Tissue Faced PIR, ROCKWOOL HardRock Multi-Fix (DD), ROCKWOOL HardRock Multi-Fix (DD), ROCKWOOL HardRock Multi-Fix (DD), ROCKWOOL HardRock Multi-Fix (DD), ROCKWOOL HardRock Multi-Fix (DD), Tissue Faced PIR, ROCKWOOL HardRock Multi-Fix (DD), Torch On PIR,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Tissue Faced PIR, Tissue Faced PIR, Tissue Faced PIR, Tissue Faced PIR, ROCKWOOL HardRock Multi-Fix (DD), ROCKWOOL HardRock Multi-Fix (DD), ROCKWOOL HardRock Multi-Fix (DD), ROCKWOOL HardRock Multi-Fix (DD), Tissue Faced PIR, ROCKWOOL HardRock Multi-Fix (DD), ROCKWOOL HardRock Multi-Fix (DD), ROCKWOOL HardRock Multi-Fix (DD), ROCKWOOL HardRock Multi-Fix (DD), ROCKWOOL HardRock Multi-Fix (DD), ROCKWOOL HardRock Multi-Fix (DD), Tissue Faced PIR, Tissue Faced PIR, Tissue Faced PIR, ROCKWOOL HardRock Multi-Fix (DD), Tissue Faced PIR</t>
  </si>
  <si>
    <t>10355</t>
  </si>
  <si>
    <t>Linacre House, Bootle</t>
  </si>
  <si>
    <t>Polyroof Advanced Liquid Roofing, Flex-R, Flex-R, Flex-R</t>
  </si>
  <si>
    <t>10240</t>
  </si>
  <si>
    <t>Zeal Hotel Exeter</t>
  </si>
  <si>
    <t>Axter Limited, Axter Limited, Rock Roofing, Axter Limited, Axter Limited, Axter Limited</t>
  </si>
  <si>
    <t>Tissue Faced PIR, Tissue Faced PIR, Foil Faced PIR, Tissue Faced PIR, Tissue Faced PIR, Tissue Faced PIR</t>
  </si>
  <si>
    <t>10147</t>
  </si>
  <si>
    <t>Charterhouse Drama</t>
  </si>
  <si>
    <t>Axter Limited, Rockwool Limited, Axter Limited, Rockwool Limited, Axter Limited</t>
  </si>
  <si>
    <t>Tissue Faced PIR, ROCKWOOL HardRock Multi-Fix (DD), ROCKWOOL HardRock Multi-Fix (DD), ROCKWOOL HardRock Multi-Fix (DD), Tissue Faced PIR</t>
  </si>
  <si>
    <t>9857</t>
  </si>
  <si>
    <t>Silchester Estate</t>
  </si>
  <si>
    <t>Rockwool Limited (Bauder), Rockwool Limited, Rockwool Limited (Bauder), Rockwool Limited (Bauder), Rockwool Limited (Bauder), Rockwool Limited (Bauder), Rockwool Limited (Bauder), Rockwool Limited (Bauder), Rockwool Limited (Bauder)</t>
  </si>
  <si>
    <t>9835</t>
  </si>
  <si>
    <t>Burlington Junior School</t>
  </si>
  <si>
    <t>Rockwool Limited (Bauder), Rockwool Limited, Rockwool Limited (Bauder), Rockwool Limited, Rockwool Limited (Bauder), Rockwool Limited (Bauder), Rockwool Limited (Bauder), Rockwool Limited (Bauder), Rockwool Limited (Bauder), Rockwool Limited (Bauder), Rockwool Limited (Bauder), Rockwool Limited (Bauder), Rockwool Limited (Bauder), Rockwool Limited (Bauder)</t>
  </si>
  <si>
    <t>9737</t>
  </si>
  <si>
    <t>Cadbury World, Linden Rd, Birmingham B30 1JR</t>
  </si>
  <si>
    <t>Axter Limited, Axter Limited, Axter Limited, Axter Limited, Axter Limited, Axter Limited, Axter Limited, Axter Limited, Axter Limited, Axter Limited, Axter Limited, Axter Limited, Axter Limited, Moy Materials (UK) Limited, Rockwool Limited (Bauder), Rockwool Limited (Bauder), Protan (UK) Ltd, Protan (UK) Ltd, Protan (UK) Ltd, Protan (UK) Ltd, Protan (UK) Ltd</t>
  </si>
  <si>
    <t>ROCKWOOL HardRock Multi-Fix (DD), ROCKWOOL HardRock Multi-Fix (DD), ROCKWOOL HardRock Multi-Fix (DD), ROCKWOOL HardRock Multi-Fix (DD), ROCKWOOL HardRock Multi-Fix (DD), ROCKWOOL HardRock Multi-Fix (DD), ROCKWOOL HardRock Multi-Fix (DD), Tissue Faced PIR (Prebonded), Tissue Faced PIR, Tissue Faced PIR, Tissue Faced PIR, Torch On PIR (Prebonded), ROCKWOOL HardRock Multi-Fix (DD), ROCKWOOL HardRock Multi-Fix (DD), ROCKWOOL HardRock Multi-Fix (DD), ROCKWOOL HardRock Multi-Fix (DD), ROCKWOOL HardRock Multi-Fix (DD), ROCKWOOL HardRock Multi-Fix (DD), ROCKWOOL HardRock Multi-Fix (DD), ROCKWOOL HardRock Multi-Fix (DD)</t>
  </si>
  <si>
    <t>9595</t>
  </si>
  <si>
    <t>Manchester Airport</t>
  </si>
  <si>
    <t>Moy Materials (UK) Limited, IKO Polymeric, IKO Polymeric, IKO Polymeric, IKO Polymeric, Rockwool Limited, Moy Materials (UK) Limited, Encon Insulation Limited, Moy Materials (UK) Limited, MOY MATERIALS (NORTHERN) LTD (DO NOT USE - Dissolved), MOY MATERIALS (NORTHERN) LTD (DO NOT USE - Dissolved), Moy Materials (UK) Limited, Moy Materials (UK) Limited, Moy Materials (UK) Limited</t>
  </si>
  <si>
    <t>ROCKWOOL HardRock Multi-Fix (DD), ROCKWOOL HardRock Multi-Fix (DD), ROCKWOOL HardRock Multi-Fix (DD), ROCKDeck, ROCKWOOL HardRock Multi-Fix (DD), ROCKWOOL HardRock Multi-Fix (DD), ROCKWOOL HardRock Multi-Fix (DD), ROCKWOOL HardRock Multi-Fix (DD), ROCKWOOL HardRock Multi-Fix (DD)</t>
  </si>
  <si>
    <t>9573</t>
  </si>
  <si>
    <t>Phase 2 - Our Lady of Lourdes RC Primary School, E11 2TA</t>
  </si>
  <si>
    <t>Garland, Garland, Garland, Garland, Earthy Properties Ltd., Garland, Garland, Garland, Garland, Garland</t>
  </si>
  <si>
    <t>Torch On PIR (Prebonded), Torch On PIR (Prebonded), Torch On PIR (Prebonded), EPS / PIR Torch On (Prebonded)</t>
  </si>
  <si>
    <t>9507</t>
  </si>
  <si>
    <t>George Eliot Hospital, College Street, Nuneaton, CV10 7DJ</t>
  </si>
  <si>
    <t>Axter Limited, Axter Limited, Axter Limited, Axter Limited, Axter Limited, Axter Limited, Axter Limited, Axter Limited, Axter Limited, Axter Limited, Axter Limited, Axter Limited, Axter Limited, Axter Limited, Telclad Limited, Axter Limited, Axter Limited, Axter Limited, Axter Limited, Axter Limited, Axter Limited, ICB (Waterproofing) Ltd, ICB (Waterproofing) Ltd, Rockwool Limited, Rockwool Limited (Bauder), Rockwool Limited (Bauder), Axter Limited</t>
  </si>
  <si>
    <t>Tissue Faced PIR (Prebonded), Tissue Faced PIR, Tissue Faced PIR, Tissue Faced PIR, Tissue Faced PIR, Tissue Faced PIR, Tissue Faced PIR, Tissue Faced PIR, Tissue Faced PIR, Tissue Faced PIR, Tissue Faced PIR, Tissue Faced PIR, Tissue Faced PIR, Tissue Faced PIR, Tissue Faced PIR, Tissue Faced PIR, ROCKWOOL HardRock Multi-Fix (DD), ROCKWOOL HardRock Multi-Fix (DD), ROCKWOOL HardRock Multi-Fix (DD), ROCKWOOL HardRock Multi-Fix (DD), ROCKWOOL HardRock Multi-Fix (DD), Tissue Faced PIR</t>
  </si>
  <si>
    <t>9418</t>
  </si>
  <si>
    <t>St Leonards Quarter</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</si>
  <si>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</si>
  <si>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(Prebonded), Tissue Faced PIR, Tissue Faced PIR, Tissue Faced PIR, Tissue Faced PIR, ROCKWOOL HardRock Multi-Fix (DD), Tissue Faced PIR, Tissue Faced PIR, Tissue Faced PIR, Tissue Faced PIR, Tissue Faced PIR, ROCKWOOL HardRock Multi-Fix (DD), Foil Faced PIR, Tissue Faced PIR (Prebonded), Foil Faced PIR, Foil Faced PIR, Foil Faced PIR, Foil Faced PIR, Foil Faced PIR, ROCKWOOL HardRock Multi-Fix (DD), Tissue Faced PIR, ROCKWOOL HardRock Multi-Fix (DD), ROCKWOOL HardRock Multi-Fix (DD), Tissue Faced PIR, Tissue Faced PIR, ROCKWOOL HardRock Multi-Fix (DD), ROCKWOOL HardRock Multi-Fix (DD), ROCKWOOL HardRock Multi-Fix (DD), Tissue Faced PIR, Tissue Faced PIR, Tissue Faced PIR, Tissue Faced PIR, Tissue Faced PIR, Tissue Faced PIR, Tissue Faced PIR, Tissue Faced PIR, Tissue Faced PIR, Tissue Faced PIR, ROCKWOOL HardRock Multi-Fix (DD), ROCKWOOL HardRock Multi-Fix (DD), Tissue Faced PIR, Tissue Faced PIR, Tissue Faced PIR, Tissue Faced PIR, Tissue Faced PIR, Tissue Faced PIR, Tissue Faced PIR, Tissue Faced PIR, Tissue Faced PIR</t>
  </si>
  <si>
    <t>9387</t>
  </si>
  <si>
    <t>Silverlake Baxters Rise 11</t>
  </si>
  <si>
    <t>Tissue Faced PIR, Tissue Faced PIR, Tissue Faced PIR, Tissue Faced PIR, Tissue Faced PIR (Prebonded), Tissue Faced PIR (Prebonded), Tissue Faced PIR, Tissue Faced PIR, Tissue Faced PIR, Tissue Faced PIR, Tissue Faced PIR</t>
  </si>
  <si>
    <t>9347</t>
  </si>
  <si>
    <t>Pall Mall Manchester</t>
  </si>
  <si>
    <t>Garland, Garland, Garland, Garland, Garland, Garland, Garland, Garland, Garland, Garland, Garland, Garland, Garland, Garland, Garland, Garland, Garland, Garland, Garland, Garland, Garland, Garland, Garland, Garland, Garland, Garland, Garland, Garland, Garland, Garland</t>
  </si>
  <si>
    <t>XPS, Torch On PIR (Prebonded), Torch On PIR (Prebonded), Torch On PIR (Prebonded), Torch On PIR (Prebonded), Torch On PIR (Prebonded), Torch On PIR (Prebonded), Torch On PIR (Prebonded), XPS, Torch On PIR (Prebonded), Torch On PIR (Prebonded), EPS / PIR Torch On (Prebonded), Torch On PIR (Prebonded), Tissue Faced PIR (Prebonded), Tissue Faced PIR (Prebonded), Tissue Faced PIR (Prebonded), Tissue Faced PIR (Prebonded), Tissue Faced PIR (Prebonded), Tissue Faced PIR (Prebonded), Tissue Faced PIR, Tissue Faced PIR, Tissue Faced PIR, Tissue Faced PIR, XPS</t>
  </si>
  <si>
    <t>9266</t>
  </si>
  <si>
    <t>Locking Head Drive - T1</t>
  </si>
  <si>
    <t>Axter Limited, Axter Limited, Axter Limited, Axter Limited, Axter Limited, Axter Limited, Axter Limited, Axter Limited, Axter Limited, Axter Limited, Axter Limited, Axter Limited, CCF Limited, Axter Limited, Axter Limited, Axter Limited, Axter Limited, Axter Limited, Axter Limited, Axter Limited</t>
  </si>
  <si>
    <t>Tissue Faced PIR, Tissue Faced PIR, Tissue Faced PIR, Tissue Faced PIR, Tissue Faced PIR, Tissue Faced PIR, Tissue Faced PIR, Tissue Faced PIR, Foil Faced PIR, Foil Faced PIR, Foil Faced PIR, Foil Faced PIR, Tissue Faced PIR, Foil Faced PIR, Tissue Faced PIR, Tissue Faced PIR, Tissue Faced PIR, Tissue Faced PIR, Tissue Faced PIR, Tissue Faced PIR</t>
  </si>
  <si>
    <t>9114</t>
  </si>
  <si>
    <t>Rolle Gardens, Exmouth</t>
  </si>
  <si>
    <t>Axter Limited, Axter Limited, Axter Limited, Axter Limited, Axter Limited, Axter Limited, Axter Limited, Axter Limited, Axter Limited, Axter Limited, Axter Limited, Axter Limited, Axter Limited, Axter Limited, Axter Limited, Rockwool Limited, Axter Limited, Axter Limited, Axter Limited</t>
  </si>
  <si>
    <t>Tissue Faced PIR, Tissue Faced PIR, Tissue Faced PIR, Tissue Faced PIR, Tissue Faced PIR, Tissue Faced PIR, ROCKDeck, Tissue Faced PIR, ROCKDeck, ROCKDeck, ROCKDeck, ROCKDeck, ROCKDeck, Tissue Faced PIR, ROCKDeck, ROCKDeck, Tissue Faced PIR, Tissue Faced PIR, Tissue Faced PIR</t>
  </si>
  <si>
    <t>8860</t>
  </si>
  <si>
    <t>Old Kent Road</t>
  </si>
  <si>
    <t>Axter Limited, Axter Limited, Axter Limited, Axter Limited, ICB (Waterproofing) Ltd, Axter Limited, ICB (Waterproofing) Ltd, ICB (Waterproofing) Ltd, ICB (Waterproofing) Ltd, ICB (Waterproofing) Ltd, Axter Limited, Siltec Limited, Siltec Limited, Axter Limited, Guaranteed Asphalt Limited, Guaranteed Asphalt Limited, ICB (Waterproofing) Ltd, Siltec Limited, Axter Limited, Axter Limited, Axter Limited, Axter Limited</t>
  </si>
  <si>
    <t>Tissue Faced PIR, Tissue Faced PIR, Tissue Faced PIR, ROCKWOOL HardRock Multi-Fix (DD), ROCKWOOL HardRock Multi-Fix (DD), Tissue Faced PIR, Tissue Faced PIR, ROCKWOOL HardRock Multi-Fix (DD), ROCKWOOL HardRock Multi-Fix (DD), ROCKWOOL HardRock Multi-Fix (DD), ROCKWOOL HardRock Multi-Fix (DD), ROCKWOOL HardRock Multi-Fix (DD), T3+, Tissue Faced PIR, T3+, ROCKWOOL HardRock Multi-Fix (DD), Torch On PIR, ROCKWOOL HardRock Multi-Fix (DD), T3+, Tissue Faced PIR, ROCKWOOL HardRock Multi-Fix (DD), ROCKWOOL HardRock Multi-Fix (DD), Tissue Faced PIR, Tissue Faced PIR</t>
  </si>
  <si>
    <t>8723</t>
  </si>
  <si>
    <t>Free Wharf Shoreham-by-sea</t>
  </si>
  <si>
    <t>Axter Limited, Widopan Limited, Widopan Limited, Moy Materials (UK) Limited, Moy Materials (UK)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</si>
  <si>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Tissue Faced PIR, Tissue Faced PIR, Tissue Faced PIR, ROCKWOOL HardRock Multi-Fix (DD), ROCKWOOL HardRock Multi-Fix (DD),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 Tissue Faced PIR</t>
  </si>
  <si>
    <t>8712</t>
  </si>
  <si>
    <t>Cadbury College, Birmingham</t>
  </si>
  <si>
    <t>Axter Limited, LGX Roofing &amp; Construction Ltd, Rockwool Limited, Rockwool Limited, Rockwool Limited, Axter Limited, Axter Limited, Axter Limited, Encon Insulation Limited, Axter Limited, Axter Limited, Encon Insulation Limited, Encon Insulation Limited, Encon Insulation Limited, Encon Insulation Limited, Encon Insulation Limited, Axter Limited, Axter Limited, Axter Limited, Axter Limited, Axter Limited, Axter Limited, Axter Limited</t>
  </si>
  <si>
    <t>Tissue Faced PIR, Foil Faced PIR, ROCKWOOL HardRock Multi-Fix (DD), ROCKWOOL HardRock Multi-Fix (DD), ROCKWOOL HardRock Multi-Fix (DD), Tissue Faced PIR, Tissue Faced PIR, Tissue Faced PIR, Tissue Faced PIR, Tissue Faced PIR, Tissue Faced PIR, Torch On PIR, Torch On PIR, Tissue Faced PIR, Tissue Faced PIR, Tissue Faced PIR, Tissue Faced PIR, Tissue Faced PIR, Tissue Faced PIR</t>
  </si>
  <si>
    <t>8681</t>
  </si>
  <si>
    <t>Premier House</t>
  </si>
  <si>
    <t>Belgrade Insulations Limited, Axter Limited, Rock Roofing, Rock Roofing, Axter Limited, Axter Limited, Axter Limited, Axter Limited</t>
  </si>
  <si>
    <t>ROCKDeck, ROCKWOOL HardRock Multi-Fix (DD), ROCKWOOL HardRock Multi-Fix (DD), Tissue Faced PIR, Tissue Faced PIR, Tissue Faced PIR, ROCKWOOL HardRock Multi-Fix (DD), Tissue Faced PIR</t>
  </si>
  <si>
    <t>8641</t>
  </si>
  <si>
    <t>John Colet School</t>
  </si>
  <si>
    <t>Acclaim Contracts Limited, Acclaim Contracts Limited, Garland, Acclaim Contracts Limited, Garland, Garland, Garland</t>
  </si>
  <si>
    <t>Torch On PIR (Prebonded), EPS / PIR Torch On (Prebonded), Torch On PIR (Prebonded), EPS / PIR Torch On (Prebonded)</t>
  </si>
  <si>
    <t>8541</t>
  </si>
  <si>
    <t>Princess Royal University Hospital, Orpington BR6 8ND</t>
  </si>
  <si>
    <t>Rockwool Limited, Rockwool Limited, Rockwool Limited, Rockwool Limited, Rockwool Limited, Rockwool Limited, Rockwool Limited, Rockwool Limited (Bauder), Rockwool Limited (Bauder), Rockwool Limited (Bauder), Rockwool Limited (Bauder), Rockwool Limited (Bauder)</t>
  </si>
  <si>
    <t>8527</t>
  </si>
  <si>
    <t>Thornwick bay, Flamborough</t>
  </si>
  <si>
    <t>Richmond Roofing (Single Ply) Ltd, Encon Insulation Limited, Richmond Roofing (Single Ply) Ltd</t>
  </si>
  <si>
    <t>EPS 150 (SPR), EPS 150 (SPR), EPS 150 (SPR)</t>
  </si>
  <si>
    <t>8443</t>
  </si>
  <si>
    <t>Maybury Primary School Woking</t>
  </si>
  <si>
    <t>8378</t>
  </si>
  <si>
    <t>Store Road</t>
  </si>
  <si>
    <t>Tissue Faced PIR, Tissue Faced PIR, Tissue Faced PIR, Tissue Faced PIR, Tissue Faced PIR, Tissue Faced PIR, Tissue Faced PIR, Tissue Faced PIR, VIPs, Tissue Faced PIR, Tissue Faced PIR, Tissue Faced PIR, Tissue Faced PIR, Tissue Faced PIR, Tissue Faced PIR, Tissue Faced PIR</t>
  </si>
  <si>
    <t>8290</t>
  </si>
  <si>
    <t>Grove Street</t>
  </si>
  <si>
    <t>Rockwool Limited (Bauder), Rockwool Limited (Bauder), Rockwool Limited (Bauder), Rockwool Limited (Bauder), Rockwool Limited (Bauder), Rockwool Limited (Bauder), Rockwool Limited (Bauder), Rockwool Limited (Bauder), Rockwool Limited (Bauder), Rock Roofing, Rock Roofing, Rock Roofing, Rock Roofing, Garland, Garland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</si>
  <si>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Foil Faced PIR, ROCKWOOL HardRock Multi-Fix (DD), Foil Faced PIR, ROCKWOOL HardRock Multi-Fix (DD), Torch On PIR (Prebonded), ROCKWOOL HardRock Multi-Fix (DD)</t>
  </si>
  <si>
    <t>8289</t>
  </si>
  <si>
    <t>Gorse Ride</t>
  </si>
  <si>
    <t>8222</t>
  </si>
  <si>
    <t>Maggie's Centre, The Lodge</t>
  </si>
  <si>
    <t>8149</t>
  </si>
  <si>
    <t>13-14 Hanover Street Mayfair, London W1S1YH</t>
  </si>
  <si>
    <t>Axter Limited, Belgrade Insulations Limited, Belgrade Insulations Limited, Axter Limited, BMI GROUP UK LIMITED, BMI GROUP UK LIMITED, Axter Limited, Axter Limited, Axter Limited, Axter Limited, Axter Limited, Axter Limited, Axter Limited, Axter Limited, Axter Limited</t>
  </si>
  <si>
    <t>VIPs, ROCKWOOL HardRock Multi-Fix (DD), ROCKWOOL HardRock Multi-Fix (DD), VIPs, Tissue Faced PIR, ROCKWOOL HardRock Multi-Fix (DD), VIPs, VIPs, VIPs, VIPs, VIPs, VIPs</t>
  </si>
  <si>
    <t>8106</t>
  </si>
  <si>
    <t>Colt London</t>
  </si>
  <si>
    <t>Moy Materials (UK) Limited, Moy Materials (UK) Limited, Moy Materials (UK) Limited, Moy Materials (UK) Limited, Moy Materials (UK) Limited, Moy Materials (UK) Limited, Moy Materials (UK) Limited, Moy Materials (UK) Limited, AccuRoof, AccuRoof, AccuRoof, Moy Materials (UK) Limited, Moy Materials (UK) Limited, Moy Materials (UK)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</si>
  <si>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Torch On PIR, ROCKWOOL HardRock Multi-Fix (DD), ROCKWOOL HardRock Multi-Fix (DD), ROCKWOOL HardRock Multi-Fix (DD), ROCKWOOL HardRock Multi-Fix (DD)</t>
  </si>
  <si>
    <t>8013</t>
  </si>
  <si>
    <t>Regents Wharf, 10-18 All Saints Street, London N1 9RL</t>
  </si>
  <si>
    <t>AccuRoof, AccuRoof, AccuRoof, AccuRoof, AccuRoof, AccuRoof, AccuRoof, AccuRoof, AccuRoof, AccuRoof, AccuRoof, AccuRoof, AccuRoof, AccuRoof, AccuRoof, AccuRoof, AccuRoof</t>
  </si>
  <si>
    <t>Tissue Faced PIR, ROCKWOOL HardRock Multi-Fix (DD), Tissue Faced PIR, Tissue Faced PIR, Tissue Faced PIR, ROCKWOOL HardRock Multi-Fix (DD), Tissue Faced PIR, Tissue Faced PIR, Tissue Faced PIR, Tissue Faced PIR, Tissue Faced PIR, Ready T3+, Tissue Faced PIR, Tissue Faced PIR, Tissue Faced PIR, Tissue Faced PIR, Tissue Faced PIR</t>
  </si>
  <si>
    <t>7998</t>
  </si>
  <si>
    <t>64 St James Street</t>
  </si>
  <si>
    <t>Axter Limited, Axter Limited, Axter Limited, Moy Materials (UK) Limited, Axter Limited, Axter Limited, Axter Limited, Axter Limited, Axter Limited, Axter Limited, Axter Limited, Axter Limited</t>
  </si>
  <si>
    <t>Tissue Faced PIR, ROCKWOOL HardRock Multi-Fix (DD), ROCKWOOL HardRock Multi-Fix (DD), ROCKWOOL HardRock Multi-Fix (DD), ROCKWOOL HardRock Multi-Fix (DD), ROCKWOOL HardRock Multi-Fix (DD), ROCKWOOL HardRock Multi-Fix (DD), ROCKWOOL HardRock Multi-Fix (DD), Tissue Faced PIR, Tissue Faced PIR, Tissue Faced PIR, Tissue Faced PIR</t>
  </si>
  <si>
    <t>7979</t>
  </si>
  <si>
    <t>Winchester College</t>
  </si>
  <si>
    <t>Rockwool Limited, Rockwool Limited, Rockwool Limited, Rockwool Limited, Rockwool Limited (Bauder)</t>
  </si>
  <si>
    <t>7728</t>
  </si>
  <si>
    <t>Yelvertoft Primary School</t>
  </si>
  <si>
    <t>Keystone Roofing Supplies Limited, Keystone Roofing Supplies Limited, Keystone Roofing Supplies Limited</t>
  </si>
  <si>
    <t>7539</t>
  </si>
  <si>
    <t>High Road, Ilford</t>
  </si>
  <si>
    <t>ROCKDeck, Tissue Faced PIR, ROCKWOOL HardRock Multi-Fix (DD), Tissue Faced PIR, ROCKDeck, Tissue Faced PIR, Tissue Faced PIR, Tissue Faced PIR</t>
  </si>
  <si>
    <t>7503</t>
  </si>
  <si>
    <t>7 - 8 Rathbone</t>
  </si>
  <si>
    <t>7282</t>
  </si>
  <si>
    <t>Bashley Road, Park Royal - LON1 Level 6</t>
  </si>
  <si>
    <t>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(NORTHERN) LTD (DO NOT USE - Dissolved),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(NORTHERN) LTD (DO NOT USE - Dissolved),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 Moy Materials (UK)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</si>
  <si>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</si>
  <si>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6830</t>
  </si>
  <si>
    <t>Castle Lane</t>
  </si>
  <si>
    <t>Axter Limited, Moy Materials (UK) Limited, Belgrade Insulations Limited, Axter Limited, Axter Limited, Alumasc Building Products Limited</t>
  </si>
  <si>
    <t>6828</t>
  </si>
  <si>
    <t>Block E1 High View, Hatfield</t>
  </si>
  <si>
    <t>Tissue Faced PIR, Tissue Faced PIR, Tissue Faced PIR, Tissue Faced PIR, VIPs, Tissue Faced PIR, VIPs, Tissue Faced PIR, Tissue Faced PIR, Tissue Faced PIR</t>
  </si>
  <si>
    <t>6721</t>
  </si>
  <si>
    <t>King Ethelbert School, CT7 9BL</t>
  </si>
  <si>
    <t>Acclaim Contracts Limited, Garland, Garland, Acclaim Contracts Limited, Garland, Garland, Garland, Garland, Garland, Garland, Garland, Garland, Garland, Garland, Garland, Garland, Garland, Garland</t>
  </si>
  <si>
    <t>Torch On PIR (Prebonded), Torch On PIR (Prebonded), Torch On PIR (Prebonded), EPS / PIR Torch On (Prebonded), EPS / PIR Torch On (Prebonded), Torch On PIR (Prebonded), EPS / PIR Torch On (Prebonded), EPS / PIR Torch On (Prebonded), EPS / PIR Torch On (Prebonded), EPS / PIR Torch On (Prebonded)</t>
  </si>
  <si>
    <t>6612</t>
  </si>
  <si>
    <t>Meadow High School, Hillingdon, London</t>
  </si>
  <si>
    <t>Rockwool Limited, roofline, roofline, roofline, roofline, Rockwool Limited (Bauder), Rockwool Limited (Bauder), Rockwool Limited, Siltec Waterproofing Solutions LTD, Rockwool Limited (Bauder), Rockwool Limited (Bauder), Rockwool Limited (Bauder), Rockwool Limited (Bauder)</t>
  </si>
  <si>
    <t>ROCKWOOL HardRock Multi-Fix (DD), Torch On PIR, Torch On PIR, Torch On PIR, ROCKWOOL HardRock Multi-Fix (DD), ROCKWOOL HardRock Multi-Fix (DD), ROCKWOOL HardRock Multi-Fix (DD), ROCKWOOL HardRock Multi-Fix (DD), ROCKWOOL HardRock Multi-Fix (DD), ROCKWOOL HardRock Multi-Fix (DD), ROCKWOOL HardRock Multi-Fix (DD), ROCKWOOL HardRock Multi-Fix (DD), ROCKWOOL HardRock Multi-Fix (DD)</t>
  </si>
  <si>
    <t>6609</t>
  </si>
  <si>
    <t>Corpus Christi</t>
  </si>
  <si>
    <t>Rockwool, Rockwool Limited, Rockwool Limited, TPS roofing and Cladding Limited, Mapei (UK) Limited</t>
  </si>
  <si>
    <t>ROCKWOOL HardRock Multi-Fix (DD), ROCKWOOL HardRock Multi-Fix (DD), ROCKWOOL HardRock Multi-Fix (DD), EPS/PIR Tissue Faced, Tissue Faced PIR</t>
  </si>
  <si>
    <t>6608</t>
  </si>
  <si>
    <t>West End Gate - Block G</t>
  </si>
  <si>
    <t>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 Axter Limited</t>
  </si>
  <si>
    <t>EPS/PIR Tissue Faced, EPS/PIR Tissue Faced, ROCKWOOL HardRock Multi-Fix (DD), ROCKWOOL HardRock Multi-Fix (DD), Tissue Faced PIR, Tissue Faced PIR, Tissue Faced PIR, Tissue Faced PIR, Tissue Faced PIR, Inverted EPS, Tissue Faced PIR, Tissue Faced PIR, Tissue Faced PIR, Tissue Faced PIR, Tissue Faced PIR, Tissue Faced PIR, Tissue Faced PIR, Tissue Faced PIR, Tissue Faced PIR, Tissue Faced PIR</t>
  </si>
  <si>
    <t>6417</t>
  </si>
  <si>
    <t>Manchester Royal Infirmary</t>
  </si>
  <si>
    <t>Rockwool, Rockwool Limited, Rockwool Limited, Rockwool Limited, Rockwool Limited, Rockwool Limited, Rockwool Limited, Rockwool Limited, Rockwool Limited, Rockwool Limited, Rockwool Limited, Rockwool Limited, Rockwool Limited, Rockwool Limited, Rockwool Limited, SIG Distribution, MAC Roofing, MAC Roofing, Rockwool Limited, MAC Roofing,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 Encon Insulation Limited</t>
  </si>
  <si>
    <t>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Roofblock G1T3+,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</si>
  <si>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6383</t>
  </si>
  <si>
    <t>Gower College, Swansea SA4 6RD</t>
  </si>
  <si>
    <t>Alumasc Building Products Limited, Axter Limited, Axter Limited, Axter Limited, Axter Limited, Axter Limited, Axter Limited, Axter Limited, Axter Limited, Axter Limited, Axter Limited</t>
  </si>
  <si>
    <t>EPS / PIR Torch On, ROCKWOOL HardRock Multi-Fix (DD), Tissue Faced PIR, ROCKWOOL HardRock Multi-Fix (DD), Tissue Faced PIR, Tissue Faced PIR, Tissue Faced PIR, Tissue Faced PIR, Tissue Faced PIR, Tissue Faced PIR, Tissue Faced PIR</t>
  </si>
  <si>
    <t>6286</t>
  </si>
  <si>
    <t>Dr Challoners High School for Girls Cokes Lane, Little Chalfont HP7 9QB</t>
  </si>
  <si>
    <t>Garland, Garland, Garland, Cambridge Flat Roofing Company Limited, Garland, Cambridge Flat Roofing Company Limited, Ashe Roofing Limited, Garland, Garland, Garland, Garland, Garland, Garland, Cambridge Flat Roofing Company Limited, Cambridge Flat Roofing Company Limited, Garland, Garland</t>
  </si>
  <si>
    <t>Torch On PIR (Prebonded), Torch On PIR, Torch On PIR (Prebonded), Torch On PIR, Torch On PIR, Torch On PIR, Torch On PIR, Torch On PIR, Torch On PIR, Torch On PIR</t>
  </si>
  <si>
    <t>6098</t>
  </si>
  <si>
    <t>St Chads RC School, Bishop Auckland</t>
  </si>
  <si>
    <t>Garland, Axter Limited, Axter Limited, Garland, Garland, Garland, Garland, Garland, Garland, Garland, Garland, Garland, Garland, Garland</t>
  </si>
  <si>
    <t>Torch On PIR (Prebonded), Tissue Faced PIR, Tissue Faced PIR, Torch On PIR, Torch On PIR (Prebonded), Torch On PIR (Prebonded), Torch On PIR (Prebonded), Torch On PIR</t>
  </si>
  <si>
    <t>5843</t>
  </si>
  <si>
    <t>Bedford Passage</t>
  </si>
  <si>
    <t>Alumasc Building Products Limited, Rockwool Limited, Alumasc Building Products Limited, Rockwool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 Alumasc Building Products Limited</t>
  </si>
  <si>
    <t>ROCKWOOL HardRock Multi-Fix (DD), ROCKWOOL HardRock Multi-Fix (DD), ROCKDeck,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 ROCKWOOL HardRock Multi-Fix (DD)</t>
  </si>
  <si>
    <t>5669</t>
  </si>
  <si>
    <t>Land at Store Road, North Woolwich</t>
  </si>
  <si>
    <t>Rockwool Limited, Axter Limited, Axter Limited, Axter Limited</t>
  </si>
  <si>
    <t>ROCKWOOL HardRock Multi-Fix (DD), ROCKWOOL HardRock Multi-Fix (DD), EPS/PIR Tissue Faced, Tissue Faced PIR, Tissue Faced PIR</t>
  </si>
  <si>
    <t>4804</t>
  </si>
  <si>
    <t>Oaklands</t>
  </si>
  <si>
    <t>VIPs, Tissue Faced PIR, VIPs, VIPs, VIPs, VIPs, VIPs</t>
  </si>
  <si>
    <t>3950</t>
  </si>
  <si>
    <t>Kings School, Chester</t>
  </si>
  <si>
    <t>Lancastria LLP, AMS Cladding Limited</t>
  </si>
  <si>
    <t>3349</t>
  </si>
  <si>
    <t>Warwick University</t>
  </si>
  <si>
    <t>Advanced Roofing Limited, Triflex (U.K.) Limited</t>
  </si>
  <si>
    <t>3220</t>
  </si>
  <si>
    <t>Brandon House, Block 5, Level 5</t>
  </si>
  <si>
    <t>EPS 150 (SPR), Tissue Faced PIR, Tissue Faced PIR</t>
  </si>
  <si>
    <t>2830</t>
  </si>
  <si>
    <t>Minster In Sheppey Primary School</t>
  </si>
  <si>
    <t>Garland, Unrecognised Dataload, Garland, Garland, Cambridge Flat Roofing Company Limited, Garland, Cambridge Flat Roofing Company Limited, Cambridge Flat Roofing Company Limited, Garland, Garland, Garland, Garland, Garland, Garland</t>
  </si>
  <si>
    <t>Torch On PIR (Prebonded), Torch On PIR, Torch On PIR (Prebonded), Torch On PIR (Prebonded), Torch On PIR (Prebonded), Torch On PIR (Prebonded), Torch On PIR (Prebonded), Torch On PIR, Torch On PIR</t>
  </si>
  <si>
    <t>2049</t>
  </si>
  <si>
    <t>St. Mary's School, Calne</t>
  </si>
  <si>
    <t>Dataload, ICB (Waterproofing) Ltd</t>
  </si>
  <si>
    <t>498</t>
  </si>
  <si>
    <t>Nottingham Girls School</t>
  </si>
  <si>
    <t>Rockwool Limited, AccuRoof, AccuRoof, AccuRoof, Langley Waterproofing Systems Limited, AccuRoof</t>
  </si>
  <si>
    <t>ROCKWOOL HardRock Multi-Fix (DD), Tissue Faced PIR, Tissue Faced PIR (Prebonded), Tissue Faced PIR, Tissue Faced PIR, Tissue Faced PIR</t>
  </si>
  <si>
    <t>43</t>
  </si>
  <si>
    <t>Bromley-by-Bow Phase 2</t>
  </si>
  <si>
    <t>U Value Insulation Limited, U Value Insulation Limited, Southern Mastic Roofing, Southern Mastic Roofing, Southern Mastic Roofing</t>
  </si>
  <si>
    <t>EPS/PIR Tissue Faced, EPS/PIR Tissue Faced, Tissue Faced PIR</t>
  </si>
  <si>
    <t>Smoothing Adoption Model</t>
  </si>
  <si>
    <t>Built from the historic project workbook. Default predictive views use a 180-day mature cohort cut-off: first invoice on or before 2025-10-30.</t>
  </si>
  <si>
    <t>Metric</t>
  </si>
  <si>
    <t>All Projects</t>
  </si>
  <si>
    <t>180-day Mature Cohort</t>
  </si>
  <si>
    <t>365-day Sensitivity</t>
  </si>
  <si>
    <t>Interpretation</t>
  </si>
  <si>
    <t>Signal</t>
  </si>
  <si>
    <t>Shrunk Smoothed %</t>
  </si>
  <si>
    <t>Expected Days</t>
  </si>
  <si>
    <t>Project count</t>
  </si>
  <si>
    <t>Use the mature cohort for future smoothing because very recent projects are censored.</t>
  </si>
  <si>
    <t>Smoothed projects</t>
  </si>
  <si>
    <t>A project is smoothed when invoice spread days are greater than zero.</t>
  </si>
  <si>
    <t>EPS / PIR Torch On (Prebonded)</t>
  </si>
  <si>
    <t>Smoothed %</t>
  </si>
  <si>
    <t>Observed probability that a project invoices across more than one date.</t>
  </si>
  <si>
    <t>Avg spread, all projects</t>
  </si>
  <si>
    <t>Expected spread across the whole portfolio including same-day projects.</t>
  </si>
  <si>
    <t>Rockwool Limited</t>
  </si>
  <si>
    <t>Avg spread, smoothed only</t>
  </si>
  <si>
    <t>Typical duration once smoothing actually occurs.</t>
  </si>
  <si>
    <t>Median spread, smoothed only</t>
  </si>
  <si>
    <t>The central smoothed-project invoice lag.</t>
  </si>
  <si>
    <t>P75 spread, smoothed only</t>
  </si>
  <si>
    <t>Use for prudent cashflow phasing where smoothing risk is high.</t>
  </si>
  <si>
    <t>ROCKWOOL HardRock Multi-Fix (D</t>
  </si>
  <si>
    <t>P90 spread, smoothed only</t>
  </si>
  <si>
    <t>Use for downside / delayed billing sensitivity.</t>
  </si>
  <si>
    <t>Highest-value smoothing signals for future adoption</t>
  </si>
  <si>
    <t>Dimension</t>
  </si>
  <si>
    <t>Group</t>
  </si>
  <si>
    <t>Mature Projects</t>
  </si>
  <si>
    <t>Expected Spread Days</t>
  </si>
  <si>
    <t>90+ Day Rate</t>
  </si>
  <si>
    <t>180+ Day Rate</t>
  </si>
  <si>
    <t>Confidence</t>
  </si>
  <si>
    <t>Product</t>
  </si>
  <si>
    <t>Medium | Adopt smoothing by default</t>
  </si>
  <si>
    <t>Low | Adopt smoothing by default</t>
  </si>
  <si>
    <t>Account</t>
  </si>
  <si>
    <t>High | Adopt smoothing by default</t>
  </si>
  <si>
    <t>Category + Type</t>
  </si>
  <si>
    <t>Education | Refurbishment</t>
  </si>
  <si>
    <t>Medium | Model smoothing scenario</t>
  </si>
  <si>
    <t>Consultancy | New Build</t>
  </si>
  <si>
    <t>Low | Model smoothing scenario</t>
  </si>
  <si>
    <t>Health | Refurbishment</t>
  </si>
  <si>
    <t>High | Model smoothing scenario</t>
  </si>
  <si>
    <t>Category / sector smoothing summary</t>
  </si>
  <si>
    <t>Predictive columns use the 180-day mature cohort with shrinkage toward the portfolio average.</t>
  </si>
  <si>
    <t>All Smoothed %</t>
  </si>
  <si>
    <t>Mature Smoothed %</t>
  </si>
  <si>
    <t>Shrunk Mature Smoothed %</t>
  </si>
  <si>
    <t>Mature Expected Spread Days</t>
  </si>
  <si>
    <t>Avg Spread if Smoothed</t>
  </si>
  <si>
    <t>Median Smoothed Days</t>
  </si>
  <si>
    <t>P75 Smoothed Days</t>
  </si>
  <si>
    <t>Suggested Use</t>
  </si>
  <si>
    <t>High</t>
  </si>
  <si>
    <t>Model smoothing scenario</t>
  </si>
  <si>
    <t>No default smoothing</t>
  </si>
  <si>
    <t>Flag for review / light smoothing</t>
  </si>
  <si>
    <t>Medium</t>
  </si>
  <si>
    <t>Low</t>
  </si>
  <si>
    <t>Very low</t>
  </si>
  <si>
    <t>Weak signal only</t>
  </si>
  <si>
    <t>Project type smoothing summary</t>
  </si>
  <si>
    <t>Type alone is a weak differentiator here; use it as a secondary signal.</t>
  </si>
  <si>
    <t>Category plus type smoothing summary</t>
  </si>
  <si>
    <t>This is often more useful than type alone, especially for Education Refurbishment and Apartments New Build.</t>
  </si>
  <si>
    <t>Apartments | New Build</t>
  </si>
  <si>
    <t>Adopt smoothing by default</t>
  </si>
  <si>
    <t>House | Refurbishment</t>
  </si>
  <si>
    <t>Apartments | Refurbishment</t>
  </si>
  <si>
    <t>House | New Build</t>
  </si>
  <si>
    <t>Commercial | New Build</t>
  </si>
  <si>
    <t>Commercial | Refurbishment</t>
  </si>
  <si>
    <t>Education | New Build</t>
  </si>
  <si>
    <t>Health | New Build</t>
  </si>
  <si>
    <t>Leisure | Refurbishment</t>
  </si>
  <si>
    <t>Leisure | New Build</t>
  </si>
  <si>
    <t>Datacentre | New Build</t>
  </si>
  <si>
    <t>Industrial | New Build</t>
  </si>
  <si>
    <t>Industrial | Refurbishment</t>
  </si>
  <si>
    <t>Commodity | New Build</t>
  </si>
  <si>
    <t>Mixed Use | New Build</t>
  </si>
  <si>
    <t>Military | New Build</t>
  </si>
  <si>
    <t>Mixed Use | Refurbishment</t>
  </si>
  <si>
    <t>Commodity | Refurbishment</t>
  </si>
  <si>
    <t>Consultancy | Refurbishment</t>
  </si>
  <si>
    <t>Student Accommodation | New Build</t>
  </si>
  <si>
    <t>Datacentre | Refurbishment</t>
  </si>
  <si>
    <t>Military | Refurbishment</t>
  </si>
  <si>
    <t>Education, Commercial | Refurbishment</t>
  </si>
  <si>
    <t>Product smoothing summary</t>
  </si>
  <si>
    <t>Products are parsed from Product Mirror and counted once per historic project when present.</t>
  </si>
  <si>
    <t>EPS/PIR Tissue Faced</t>
  </si>
  <si>
    <t>Roofblock G1T3+</t>
  </si>
  <si>
    <t>Inverted EPS</t>
  </si>
  <si>
    <t>XPS</t>
  </si>
  <si>
    <t>EPS / PIR Torch On</t>
  </si>
  <si>
    <t>Water Filtration Layer</t>
  </si>
  <si>
    <t>EPS 100 (SPI)</t>
  </si>
  <si>
    <t>EPS 150 (SPI)</t>
  </si>
  <si>
    <t>ROCKDeck Coverboard (G-Board12.5mm)</t>
  </si>
  <si>
    <t>12.7mm CoverBoard</t>
  </si>
  <si>
    <t>EPS 300E</t>
  </si>
  <si>
    <t>Glue</t>
  </si>
  <si>
    <t>Inverted VIPs</t>
  </si>
  <si>
    <t>Ready T3+</t>
  </si>
  <si>
    <t>vip</t>
  </si>
  <si>
    <t>ROCKDeck Coverboard</t>
  </si>
  <si>
    <t>Account / customer smoothing summary</t>
  </si>
  <si>
    <t>Accounts are parsed from Account Mirror and counted once per historic project when present.</t>
  </si>
  <si>
    <t>Chandlers  Roofing</t>
  </si>
  <si>
    <t>Alumasc Building Products Limited</t>
  </si>
  <si>
    <t>Galaxy Insulation And Dry Lining Limited</t>
  </si>
  <si>
    <t>Acclaim Contracts Limited</t>
  </si>
  <si>
    <t>BMI GROUP UK LIMITED</t>
  </si>
  <si>
    <t>Optimal Roofing Solutions Ltd</t>
  </si>
  <si>
    <t>Proactive Roofing Solutions Ltd</t>
  </si>
  <si>
    <t>Prokol</t>
  </si>
  <si>
    <t>Sothall Roofing Specialists Limited</t>
  </si>
  <si>
    <t>Cambridge Flat Roofing Company Limited</t>
  </si>
  <si>
    <t>Construction Envelope Contracts</t>
  </si>
  <si>
    <t>Guaranteed Asphalt Limited</t>
  </si>
  <si>
    <t>MOY MATERIALS (NORTHERN) LTD (DO NOT USE - Dissolved)</t>
  </si>
  <si>
    <t>Quantum Insulation</t>
  </si>
  <si>
    <t>SIG Distribution</t>
  </si>
  <si>
    <t>SIG Trading Limited</t>
  </si>
  <si>
    <t>Siltec Waterproofing Solutions LTD</t>
  </si>
  <si>
    <t>Tapered Plus Limited</t>
  </si>
  <si>
    <t>CCF Limited</t>
  </si>
  <si>
    <t>Georgian Roofing Ltd</t>
  </si>
  <si>
    <t>Minster Truro</t>
  </si>
  <si>
    <t>Rock Roofing</t>
  </si>
  <si>
    <t>Widopan Limited</t>
  </si>
  <si>
    <t>Apex Roofers Ltd</t>
  </si>
  <si>
    <t>Carlisle Construction Materials Ltd</t>
  </si>
  <si>
    <t>Construction Services East London Limited</t>
  </si>
  <si>
    <t>GAP Roofing</t>
  </si>
  <si>
    <t>M &amp; J Group (Construction &amp; Roofing) Ltd</t>
  </si>
  <si>
    <t>M.Markovitz Limited</t>
  </si>
  <si>
    <t>MAC Roofing</t>
  </si>
  <si>
    <t>Minerva Roofing Ltd</t>
  </si>
  <si>
    <t>Premier Roofing Systems LTD</t>
  </si>
  <si>
    <t>Protech Roofing Ltd</t>
  </si>
  <si>
    <t>Roofclad Systems Ltd</t>
  </si>
  <si>
    <t>SPS Flat Roof System Ltd T/A</t>
  </si>
  <si>
    <t>SS Waterproofing</t>
  </si>
  <si>
    <t>Salmon Solutions</t>
  </si>
  <si>
    <t>Shield Membranes Limited</t>
  </si>
  <si>
    <t>Travis Perkins PLC</t>
  </si>
  <si>
    <t>ALB Brickwork Limited</t>
  </si>
  <si>
    <t>AMS Cladding Limited</t>
  </si>
  <si>
    <t>Aaron Freer</t>
  </si>
  <si>
    <t>Able Waterproofing Limited</t>
  </si>
  <si>
    <t>Advanced Roofing Limited</t>
  </si>
  <si>
    <t>Aldridge and Sons</t>
  </si>
  <si>
    <t>Aldworth Roofing Contracts Ltd</t>
  </si>
  <si>
    <t>Aloft Ltd</t>
  </si>
  <si>
    <t>Amora Roofing Ltd</t>
  </si>
  <si>
    <t>Ashe Roofing Limited</t>
  </si>
  <si>
    <t>B B R Roofing Limited</t>
  </si>
  <si>
    <t>BYOOT</t>
  </si>
  <si>
    <t>Bailey Products Ltd</t>
  </si>
  <si>
    <t>Baker Estates Limited</t>
  </si>
  <si>
    <t>Blitbolt Ltd</t>
  </si>
  <si>
    <t>Bluestage Ltd</t>
  </si>
  <si>
    <t>CMO stores</t>
  </si>
  <si>
    <t>CORNWALL FLAT ROOFING UK COMPANY LIMITED</t>
  </si>
  <si>
    <t>Cawston Roofing Limited</t>
  </si>
  <si>
    <t>Chelmsford Roofing Supplies</t>
  </si>
  <si>
    <t>Chris &amp; Elin</t>
  </si>
  <si>
    <t>Chris Sherrington</t>
  </si>
  <si>
    <t>Core Facade</t>
  </si>
  <si>
    <t>Craft Interior Limited</t>
  </si>
  <si>
    <t>Earthy Properties Ltd.</t>
  </si>
  <si>
    <t>Easy Clean Tile and Grout</t>
  </si>
  <si>
    <t>Eddie Bushe House</t>
  </si>
  <si>
    <t>Elliott Brothers Ltd</t>
  </si>
  <si>
    <t>Elliotts</t>
  </si>
  <si>
    <t>Eurotech Balcony Systems Ltd</t>
  </si>
  <si>
    <t>Everlast Waterproofing Limited</t>
  </si>
  <si>
    <t>Falcon Felt Roofing LTD</t>
  </si>
  <si>
    <t>Flex-R</t>
  </si>
  <si>
    <t>Geo Roof Limited</t>
  </si>
  <si>
    <t>Global Southern Limited T/A Kingsgate</t>
  </si>
  <si>
    <t>Greenham Construction Ltd</t>
  </si>
  <si>
    <t>Hera Waterproofing</t>
  </si>
  <si>
    <t>Higham Flat Roofing Limited</t>
  </si>
  <si>
    <t>IKO Polymeric</t>
  </si>
  <si>
    <t>Jewson Penzance</t>
  </si>
  <si>
    <t>John Flowers Ltd</t>
  </si>
  <si>
    <t>Kernewek roofing</t>
  </si>
  <si>
    <t>Keystone Roofing Supplies Limited</t>
  </si>
  <si>
    <t>Kingsley Roofing (London) Limited</t>
  </si>
  <si>
    <t>LGX Roofing &amp; Construction Ltd</t>
  </si>
  <si>
    <t>Longworth Building Services Limited</t>
  </si>
  <si>
    <t>M &amp; J  Services - Roofing Supplies</t>
  </si>
  <si>
    <t>M &amp; J Services Ltd</t>
  </si>
  <si>
    <t>MBM Roofing (EK) Limited</t>
  </si>
  <si>
    <t>MW Contracts (Roofing) Limited</t>
  </si>
  <si>
    <t>Maguire Brothers</t>
  </si>
  <si>
    <t>Mapei (UK) Limited</t>
  </si>
  <si>
    <t>Mason Facades Ltd</t>
  </si>
  <si>
    <t>Next Gen Facades Ltd</t>
  </si>
  <si>
    <t>Orlight</t>
  </si>
  <si>
    <t>Protan (UK) Ltd</t>
  </si>
  <si>
    <t>RCS Roofing Limited</t>
  </si>
  <si>
    <t>RTB Roofing Limited</t>
  </si>
  <si>
    <t>RTL UK Group Ltd</t>
  </si>
  <si>
    <t>Rateavon Limited</t>
  </si>
  <si>
    <t>Razanta Group Limited</t>
  </si>
  <si>
    <t>Renolit UK Limited</t>
  </si>
  <si>
    <t>Rexhill</t>
  </si>
  <si>
    <t>Richmond Roofing (Single Ply) Ltd</t>
  </si>
  <si>
    <t>Rockwool</t>
  </si>
  <si>
    <t>Roof Estimating Services</t>
  </si>
  <si>
    <t>Rubberseal</t>
  </si>
  <si>
    <t>Saint-Gobain Building Distribution Ltd T/A Minster</t>
  </si>
  <si>
    <t>Siltec Limited</t>
  </si>
  <si>
    <t>Southern Mastic Roofing</t>
  </si>
  <si>
    <t>Stark Building Materials UK Limited</t>
  </si>
  <si>
    <t>Studio DUB</t>
  </si>
  <si>
    <t>T &amp; T Roofing Limited</t>
  </si>
  <si>
    <t>TD Roofing Consultants</t>
  </si>
  <si>
    <t>Telclad Limited</t>
  </si>
  <si>
    <t>The Yorkshire Maintenance Co. (Hull) Limited</t>
  </si>
  <si>
    <t>Thomas Cassie &amp; Sons (Leicester) Ltd</t>
  </si>
  <si>
    <t>Travis Perkins Trading Company Limited</t>
  </si>
  <si>
    <t>Tyne Insulation Supplies LTD</t>
  </si>
  <si>
    <t>U Value Insulation Limited</t>
  </si>
  <si>
    <t>Ultimate Insulation Supplies Ltd.</t>
  </si>
  <si>
    <t>Unrecognised Dataload</t>
  </si>
  <si>
    <t>Vabel Projects Limited</t>
  </si>
  <si>
    <t>Walkers Waterproofing Ltd</t>
  </si>
  <si>
    <t>quantum facades</t>
  </si>
  <si>
    <t>roofline</t>
  </si>
  <si>
    <t>steadfast Constructionltd</t>
  </si>
  <si>
    <t>ALB Waterproofing Ltd</t>
  </si>
  <si>
    <t>Artisan Roofing SW Limited</t>
  </si>
  <si>
    <t>Artizan Roofing Limited</t>
  </si>
  <si>
    <t>DHP Roofing LTD</t>
  </si>
  <si>
    <t>Dataload</t>
  </si>
  <si>
    <t>GentleCraft Limited</t>
  </si>
  <si>
    <t>Gribben Roofing Ltd</t>
  </si>
  <si>
    <t>JJ Roofing Supplies Limited</t>
  </si>
  <si>
    <t>Polyglass</t>
  </si>
  <si>
    <t>Polyroof Advanced Liquid Roofing</t>
  </si>
  <si>
    <t>RoofPro London Ltd</t>
  </si>
  <si>
    <t>Rooftek Advance Limited</t>
  </si>
  <si>
    <t>South Wales Single Ply Roofing Ltd</t>
  </si>
  <si>
    <t>TPS roofing and Cladding Limited</t>
  </si>
  <si>
    <t>Unilin</t>
  </si>
  <si>
    <t>Western Flat Roofing Company Limited</t>
  </si>
  <si>
    <t>Future Project Smoothing Scoring Template</t>
  </si>
  <si>
    <t>Paste future projects from row 5 downward. The model weights Category 30%, Type 10%, Product 30%, Account 30%. Unknown values fall back to the mature portfolio average.</t>
  </si>
  <si>
    <t>Global mature smoothed %</t>
  </si>
  <si>
    <t>Global mature expected spread days</t>
  </si>
  <si>
    <t>Future Project ID</t>
  </si>
  <si>
    <t>Category / Sector</t>
  </si>
  <si>
    <t>Main Product</t>
  </si>
  <si>
    <t>Account / Customer</t>
  </si>
  <si>
    <t>Category Rate</t>
  </si>
  <si>
    <t>Type Rate</t>
  </si>
  <si>
    <t>Product Rate</t>
  </si>
  <si>
    <t>Account Rate</t>
  </si>
  <si>
    <t>Combined Smoothed %</t>
  </si>
  <si>
    <t>Risk Band</t>
  </si>
  <si>
    <t>Suggested Treatment</t>
  </si>
  <si>
    <t>Methodology and assumptions</t>
  </si>
  <si>
    <t>Definition of smoothing</t>
  </si>
  <si>
    <t>A project is treated as smoothed when Invoicing spread (DAYS) &gt; 0, equivalent to Last Date Invoiced later than First Date Invoiced.</t>
  </si>
  <si>
    <t>Why mature cohort is used</t>
  </si>
  <si>
    <t>Recent projects can be right-censored: they may look unsmoothed only because later invoices have not occurred yet. The template therefore uses projects whose first invoice date is at least 180 days before the workbook date context.</t>
  </si>
  <si>
    <t>Mature cohort cut-off</t>
  </si>
  <si>
    <t>Shrinkage logic</t>
  </si>
  <si>
    <t>Group-level rates are shrunk toward the mature portfolio average using k = 20 pseudo-projects. This stops small categories, products, or accounts from dominating the forecast.</t>
  </si>
  <si>
    <t>Shrunk smoothed %</t>
  </si>
  <si>
    <t>(Mature smoothed count + 20 × mature portfolio smoothed %) ÷ (Mature project count + 20).</t>
  </si>
  <si>
    <t>Expected spread days</t>
  </si>
  <si>
    <t>(Mature group spread-days sum + 20 × mature portfolio average spread) ÷ (Mature project count + 20).</t>
  </si>
  <si>
    <t>Future scoring weights</t>
  </si>
  <si>
    <t>Category 30%, Type 10%, Product 30%, Account 30%. Type receives a lower weight because New Build and Refurbishment show very similar smoothing rates.</t>
  </si>
  <si>
    <t>Suggested use thresholds</t>
  </si>
  <si>
    <t>Very High ≥55%; High ≥45%; Moderate ≥35%; Low &lt;35%. Separately, groups with expected spread around 120+ days should normally be smoothed even if probability is moderate.</t>
  </si>
  <si>
    <t>Main caveat</t>
  </si>
  <si>
    <t>There is no project value/revenue column in the source workbook, so the model predicts invoice timing tendency, not revenue-weighted smoothing impact.</t>
  </si>
  <si>
    <t>Recommended next enhancement</t>
  </si>
  <si>
    <t>Add contract value, planned invoice profile, expected project duration, PM/customer, and forecast period. These would allow a revenue-weighted smoothing model rather than a count-based model.</t>
  </si>
  <si>
    <t>1. Calculate invoice spread days for each historic project.</t>
  </si>
  <si>
    <t>2. Mark each historic project as smoothed or not smoothed:</t>
  </si>
  <si>
    <t xml:space="preserve">       Smoothed = 1 if spread days &gt; 0</t>
  </si>
  <si>
    <t xml:space="preserve">       Smoothed = 0 if spread days = 0</t>
  </si>
  <si>
    <t>3. Filter to mature projects to reduce distortion from recent unfinished projects.</t>
  </si>
  <si>
    <t>4. Calculate the global mature smoothing rate and global mature expected spread.</t>
  </si>
  <si>
    <t>5. For each category, type, product, and account:</t>
  </si>
  <si>
    <t xml:space="preserve">       Calculate raw smoothing rate.</t>
  </si>
  <si>
    <t xml:space="preserve">       Calculate raw expected spread days.</t>
  </si>
  <si>
    <t xml:space="preserve">       Apply shrinkage toward the global average.</t>
  </si>
  <si>
    <t>6. For a future project:</t>
  </si>
  <si>
    <t xml:space="preserve">       Look up category signal.</t>
  </si>
  <si>
    <t xml:space="preserve">       Look up type signal.</t>
  </si>
  <si>
    <t xml:space="preserve">       Look up product signal.</t>
  </si>
  <si>
    <t xml:space="preserve">       Look up account signal.</t>
  </si>
  <si>
    <t>7. If a signal is missing:</t>
  </si>
  <si>
    <t xml:space="preserve">       Use the global mature average.</t>
  </si>
  <si>
    <t>8. Combine signals using weights:</t>
  </si>
  <si>
    <t xml:space="preserve">       Category = 30%</t>
  </si>
  <si>
    <t xml:space="preserve">       Type = 10%</t>
  </si>
  <si>
    <t xml:space="preserve">       Product = 30%</t>
  </si>
  <si>
    <t xml:space="preserve">       Account = 30%</t>
  </si>
  <si>
    <t>9. Return:</t>
  </si>
  <si>
    <t xml:space="preserve">       Combined smoothing probability.</t>
  </si>
  <si>
    <t xml:space="preserve">       Expected spread days.</t>
  </si>
  <si>
    <t xml:space="preserve">       Risk band.</t>
  </si>
  <si>
    <t xml:space="preserve">       Suggested forecasting treatment.</t>
  </si>
  <si>
    <t>Analysis date (28 April 2026) - 180 days = 2025-10-30</t>
  </si>
  <si>
    <t>Algorithm summary (Empirical-Bayes-shrunk weighted scorecard model)</t>
  </si>
  <si>
    <t>Summary sheet</t>
  </si>
  <si>
    <t>What it measures</t>
  </si>
  <si>
    <t>Category_Summary</t>
  </si>
  <si>
    <t>Smoothing behaviour by sector/category</t>
  </si>
  <si>
    <t>Type_Summary</t>
  </si>
  <si>
    <t>Smoothing behaviour by project type</t>
  </si>
  <si>
    <t>Category_Type_Summary</t>
  </si>
  <si>
    <t>Smoothing behaviour for combinations such as Education + Refurbishment</t>
  </si>
  <si>
    <t>Product_Summary</t>
  </si>
  <si>
    <t>Smoothing behaviour by product</t>
  </si>
  <si>
    <t>Account_Summary</t>
  </si>
  <si>
    <t>Smoothing behaviour by customer/account</t>
  </si>
  <si>
    <t>Meaning</t>
  </si>
  <si>
    <t>Number of mature historic projects in that group</t>
  </si>
  <si>
    <t>Raw smoothing rate for that group</t>
  </si>
  <si>
    <t>Adjusted smoothing rate used by the model</t>
  </si>
  <si>
    <t>Average invoice spread days for that group</t>
  </si>
  <si>
    <t>Average spread only among projects that actually smoothed</t>
  </si>
  <si>
    <t>Typical spread among smoothed projects</t>
  </si>
  <si>
    <t>Share of mature projects with spread above 90 days</t>
  </si>
  <si>
    <t>Share of mature projects with spread above 180 days</t>
  </si>
  <si>
    <t>Reliability of the group based on sample size</t>
  </si>
  <si>
    <t>How strongly that group supports smoothing</t>
  </si>
  <si>
    <t>Sector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</si>
</sst>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ont>
    <font>
      <b/>
      <sz val="16"/>
      <color rgb="FF1F2937"/>
      <name val="Aptos Narrow"/>
    </font>
    <font>
      <i/>
      <sz val="11"/>
      <color rgb="FF4B5563"/>
      <name val="Aptos Narrow"/>
    </font>
    <font>
      <b/>
      <sz val="11"/>
      <color rgb="FF1F2937"/>
      <name val="Aptos Narrow"/>
    </font>
    <font>
      <b/>
      <sz val="10"/>
      <color rgb="FF111827"/>
      <name val="Aptos"/>
    </font>
    <font>
      <sz val="11"/>
      <color theme="1"/>
      <name val="Aptos Narrow"/>
      <family val="2"/>
    </font>
    <font>
      <b/>
      <sz val="11"/>
      <color theme="1"/>
      <name val="Aptos Narrow"/>
      <family val="2"/>
    </font>
    <font>
      <b/>
      <sz val="16"/>
      <color rgb="FF1F2937"/>
      <name val="Aptos Narrow"/>
      <family val="2"/>
    </font>
    <font>
      <b/>
      <sz val="11"/>
      <color rgb="FF1F2937"/>
      <name val="Aptos Narrow"/>
      <family val="2"/>
    </font>
    <font>
      <b/>
      <sz val="11"/>
      <color theme="1"/>
      <name val="Aptos Narrow"/>
    </font>
  </fonts>
  <fills count="8">
    <fill>
      <patternFill patternType="none"/>
    </fill>
    <fill>
      <patternFill patternType="gray125"/>
    </fill>
    <fill>
      <patternFill patternType="solid">
        <fgColor theme="6" tint="0.79995117038483843"/>
        <bgColor indexed="65"/>
      </patternFill>
    </fill>
    <fill>
      <patternFill patternType="solid">
        <fgColor rgb="FFDBEAFE"/>
      </patternFill>
    </fill>
    <fill>
      <patternFill patternType="solid">
        <fgColor rgb="FFE0F2FE"/>
      </patternFill>
    </fill>
    <fill>
      <patternFill patternType="solid">
        <fgColor rgb="FFE7F5E9"/>
      </patternFill>
    </fill>
    <fill>
      <patternFill patternType="solid">
        <fgColor rgb="FFFEF3C7"/>
      </patternFill>
    </fill>
    <fill>
      <patternFill patternType="solid">
        <fgColor rgb="FFE5E7EB"/>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2">
    <xf numFmtId="0" fontId="0" fillId="0" borderId="0" xfId="0"/>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0" fillId="0" borderId="0" xfId="0" applyAlignment="1">
      <alignment wrapText="1"/>
    </xf>
    <xf numFmtId="14" fontId="0" fillId="0" borderId="0" xfId="0" applyNumberFormat="1"/>
    <xf numFmtId="0" fontId="1" fillId="0" borderId="0" xfId="0" applyFont="1" applyAlignment="1">
      <alignment wrapText="1"/>
    </xf>
    <xf numFmtId="0" fontId="2" fillId="0" borderId="0" xfId="0" applyFont="1" applyAlignment="1">
      <alignment wrapText="1"/>
    </xf>
    <xf numFmtId="0" fontId="3" fillId="3" borderId="1" xfId="0" applyFont="1" applyFill="1" applyBorder="1" applyAlignment="1">
      <alignment horizontal="center" wrapText="1"/>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3" fillId="4" borderId="14" xfId="0" applyFont="1" applyFill="1" applyBorder="1" applyAlignment="1">
      <alignment horizontal="center" wrapText="1"/>
    </xf>
    <xf numFmtId="0" fontId="3" fillId="4" borderId="15" xfId="0" applyFont="1" applyFill="1" applyBorder="1" applyAlignment="1">
      <alignment horizontal="center" wrapText="1"/>
    </xf>
    <xf numFmtId="164" fontId="0" fillId="0" borderId="8" xfId="0" applyNumberFormat="1" applyBorder="1" applyAlignment="1">
      <alignment wrapText="1"/>
    </xf>
    <xf numFmtId="1" fontId="0" fillId="0" borderId="8" xfId="0" applyNumberFormat="1" applyBorder="1" applyAlignment="1">
      <alignment wrapText="1"/>
    </xf>
    <xf numFmtId="0" fontId="3" fillId="5" borderId="1" xfId="0" applyFont="1" applyFill="1" applyBorder="1" applyAlignment="1">
      <alignment horizontal="center" wrapText="1"/>
    </xf>
    <xf numFmtId="0" fontId="3" fillId="5" borderId="2" xfId="0" applyFont="1" applyFill="1" applyBorder="1" applyAlignment="1">
      <alignment horizontal="center" wrapText="1"/>
    </xf>
    <xf numFmtId="0" fontId="3" fillId="5" borderId="3" xfId="0" applyFont="1" applyFill="1" applyBorder="1" applyAlignment="1">
      <alignment horizontal="center" wrapText="1"/>
    </xf>
    <xf numFmtId="164" fontId="0" fillId="0" borderId="5" xfId="0" applyNumberFormat="1" applyBorder="1" applyAlignment="1">
      <alignment wrapText="1"/>
    </xf>
    <xf numFmtId="164" fontId="0" fillId="0" borderId="11" xfId="0" applyNumberFormat="1" applyBorder="1" applyAlignment="1">
      <alignment wrapText="1"/>
    </xf>
    <xf numFmtId="1" fontId="0" fillId="0" borderId="5" xfId="0" applyNumberFormat="1" applyBorder="1" applyAlignment="1">
      <alignment wrapText="1"/>
    </xf>
    <xf numFmtId="1" fontId="0" fillId="0" borderId="11" xfId="0" applyNumberFormat="1" applyBorder="1" applyAlignment="1">
      <alignment wrapText="1"/>
    </xf>
    <xf numFmtId="0" fontId="3" fillId="6" borderId="1" xfId="0" applyFont="1" applyFill="1" applyBorder="1" applyAlignment="1">
      <alignment horizontal="center" wrapText="1"/>
    </xf>
    <xf numFmtId="0" fontId="3" fillId="6" borderId="2" xfId="0" applyFont="1" applyFill="1" applyBorder="1" applyAlignment="1">
      <alignment horizontal="center" wrapText="1"/>
    </xf>
    <xf numFmtId="0" fontId="3" fillId="6" borderId="3" xfId="0" applyFont="1" applyFill="1" applyBorder="1" applyAlignment="1">
      <alignment horizontal="center" wrapText="1"/>
    </xf>
    <xf numFmtId="164" fontId="0" fillId="0" borderId="0" xfId="0" applyNumberFormat="1"/>
    <xf numFmtId="1" fontId="0" fillId="0" borderId="0" xfId="0" applyNumberFormat="1"/>
    <xf numFmtId="0" fontId="4" fillId="7" borderId="0" xfId="0" applyFont="1" applyFill="1" applyAlignment="1">
      <alignment horizontal="center" vertical="center" wrapText="1"/>
    </xf>
    <xf numFmtId="1" fontId="0" fillId="0" borderId="6" xfId="0" applyNumberFormat="1" applyBorder="1" applyAlignment="1">
      <alignment wrapText="1"/>
    </xf>
    <xf numFmtId="1" fontId="0" fillId="0" borderId="9" xfId="0" applyNumberFormat="1" applyBorder="1" applyAlignment="1">
      <alignment wrapText="1"/>
    </xf>
    <xf numFmtId="1" fontId="0" fillId="0" borderId="12" xfId="0" applyNumberFormat="1" applyBorder="1" applyAlignment="1">
      <alignment wrapText="1"/>
    </xf>
    <xf numFmtId="0" fontId="6" fillId="0" borderId="0" xfId="0" applyFont="1" applyAlignment="1">
      <alignment horizontal="center"/>
    </xf>
    <xf numFmtId="0" fontId="5" fillId="0" borderId="9" xfId="0" applyFont="1" applyBorder="1" applyAlignment="1">
      <alignment wrapText="1"/>
    </xf>
    <xf numFmtId="0" fontId="7" fillId="0" borderId="0" xfId="0" applyFont="1" applyAlignment="1">
      <alignment wrapText="1"/>
    </xf>
    <xf numFmtId="0" fontId="5" fillId="0" borderId="7" xfId="0" applyFont="1" applyBorder="1" applyAlignment="1">
      <alignment wrapText="1"/>
    </xf>
    <xf numFmtId="0" fontId="8" fillId="4" borderId="13" xfId="0" applyFont="1" applyFill="1" applyBorder="1" applyAlignment="1">
      <alignment horizontal="center" wrapText="1"/>
    </xf>
    <xf numFmtId="164" fontId="5" fillId="0" borderId="8" xfId="0" applyNumberFormat="1" applyFont="1" applyBorder="1" applyAlignment="1">
      <alignment wrapText="1"/>
    </xf>
    <xf numFmtId="0" fontId="9" fillId="0" borderId="0" xfId="0" applyFont="1" applyAlignment="1">
      <alignment horizontal="center" vertical="center" wrapText="1"/>
    </xf>
    <xf numFmtId="0" fontId="0" fillId="0" borderId="0" xfId="0" applyAlignment="1">
      <alignment vertical="center" wrapText="1"/>
    </xf>
    <xf numFmtId="0" fontId="9" fillId="0" borderId="0" xfId="0" applyFont="1" applyAlignment="1">
      <alignment vertical="center" wrapText="1"/>
    </xf>
    <xf numFmtId="0" fontId="9"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Top smoothing probability signals</a:t>
            </a:r>
          </a:p>
        </c:rich>
      </c:tx>
      <c:overlay val="0"/>
    </c:title>
    <c:autoTitleDeleted val="0"/>
    <c:plotArea>
      <c:layout/>
      <c:barChart>
        <c:barDir val="col"/>
        <c:grouping val="clustered"/>
        <c:varyColors val="0"/>
        <c:ser>
          <c:idx val="0"/>
          <c:order val="0"/>
          <c:tx>
            <c:v>Shrunk Smoothed %</c:v>
          </c:tx>
          <c:invertIfNegative val="1"/>
          <c:cat>
            <c:strRef>
              <c:f>Dashboard!$J$4:$J$11</c:f>
              <c:strCache>
                <c:ptCount val="8"/>
                <c:pt idx="0">
                  <c:v>Torch On PIR (Prebonded)</c:v>
                </c:pt>
                <c:pt idx="1">
                  <c:v>EPS / PIR Torch On (Prebonded)</c:v>
                </c:pt>
                <c:pt idx="2">
                  <c:v>Garland</c:v>
                </c:pt>
                <c:pt idx="3">
                  <c:v>Rockwool Limited</c:v>
                </c:pt>
                <c:pt idx="4">
                  <c:v>Moy Materials (UK) Limited</c:v>
                </c:pt>
                <c:pt idx="5">
                  <c:v>Tissue Faced PIR (Prebonded)</c:v>
                </c:pt>
                <c:pt idx="6">
                  <c:v>ROCKWOOL HardRock Multi-Fix (D</c:v>
                </c:pt>
                <c:pt idx="7">
                  <c:v>Axter Limited</c:v>
                </c:pt>
              </c:strCache>
            </c:strRef>
          </c:cat>
          <c:val>
            <c:numRef>
              <c:f>Dashboard!$K$4:$K$11</c:f>
              <c:numCache>
                <c:formatCode>0.0%</c:formatCode>
                <c:ptCount val="8"/>
                <c:pt idx="0">
                  <c:v>0.64412336085478383</c:v>
                </c:pt>
                <c:pt idx="1">
                  <c:v>0.59879867439933721</c:v>
                </c:pt>
                <c:pt idx="2">
                  <c:v>0.7028420523138833</c:v>
                </c:pt>
                <c:pt idx="3">
                  <c:v>0.47436179577464788</c:v>
                </c:pt>
                <c:pt idx="4">
                  <c:v>0.47346871929249917</c:v>
                </c:pt>
                <c:pt idx="5">
                  <c:v>0.3965094917330067</c:v>
                </c:pt>
                <c:pt idx="6">
                  <c:v>0.42898401645830042</c:v>
                </c:pt>
                <c:pt idx="7">
                  <c:v>0.49273347088902847</c:v>
                </c:pt>
              </c:numCache>
            </c:numRef>
          </c:val>
          <c:extLst>
            <c:ext xmlns:c16="http://schemas.microsoft.com/office/drawing/2014/chart" uri="{C3380CC4-5D6E-409C-BE32-E72D297353CC}">
              <c16:uniqueId val="{00000000-AFC9-4ED0-B6EA-472D22BCB26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13</xdr:row>
      <xdr:rowOff>0</xdr:rowOff>
    </xdr:from>
    <xdr:to>
      <xdr:col>17</xdr:col>
      <xdr:colOff>0</xdr:colOff>
      <xdr:row>29</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3"/>
  <sheetViews>
    <sheetView workbookViewId="0">
      <selection activeCell="F2" sqref="F2"/>
    </sheetView>
  </sheetViews>
  <sheetFormatPr defaultColWidth="17.7265625" defaultRowHeight="14.5" x14ac:dyDescent="0.35"/>
  <cols>
    <col min="2" max="2" width="27.08984375" customWidth="1"/>
  </cols>
  <sheetData>
    <row r="1" spans="1:12" ht="26" x14ac:dyDescent="0.35">
      <c r="A1" s="38" t="s">
        <v>0</v>
      </c>
      <c r="B1" s="38" t="s">
        <v>1</v>
      </c>
      <c r="C1" s="38" t="s">
        <v>2</v>
      </c>
      <c r="D1" s="38" t="s">
        <v>3</v>
      </c>
      <c r="E1" s="38" t="s">
        <v>4</v>
      </c>
      <c r="F1" s="38" t="s">
        <v>5</v>
      </c>
      <c r="G1" s="38" t="s">
        <v>6</v>
      </c>
      <c r="H1" s="38" t="s">
        <v>7</v>
      </c>
      <c r="I1" s="38" t="s">
        <v>8</v>
      </c>
      <c r="J1" s="38" t="s">
        <v>9</v>
      </c>
      <c r="K1" s="38" t="s">
        <v>10</v>
      </c>
      <c r="L1" s="38" t="s">
        <v>11</v>
      </c>
    </row>
    <row r="2" spans="1:12" ht="29" x14ac:dyDescent="0.35">
      <c r="A2" s="1" t="s">
        <v>12</v>
      </c>
      <c r="B2" s="2" t="s">
        <v>13</v>
      </c>
      <c r="C2" s="2" t="s">
        <v>14</v>
      </c>
      <c r="D2" s="2" t="s">
        <v>15</v>
      </c>
      <c r="E2" s="3">
        <v>46090</v>
      </c>
      <c r="F2" s="3">
        <v>46090</v>
      </c>
      <c r="G2" s="3">
        <v>46106</v>
      </c>
      <c r="H2" s="3">
        <v>46106</v>
      </c>
      <c r="I2" s="2">
        <v>16</v>
      </c>
      <c r="J2" s="4">
        <v>0</v>
      </c>
      <c r="K2" s="5" t="s">
        <v>16</v>
      </c>
      <c r="L2" s="5" t="s">
        <v>17</v>
      </c>
    </row>
    <row r="3" spans="1:12" ht="29" x14ac:dyDescent="0.35">
      <c r="A3" s="1" t="s">
        <v>18</v>
      </c>
      <c r="B3" s="2" t="s">
        <v>19</v>
      </c>
      <c r="C3" s="2" t="s">
        <v>20</v>
      </c>
      <c r="D3" s="2" t="s">
        <v>21</v>
      </c>
      <c r="E3" s="3">
        <v>46083</v>
      </c>
      <c r="F3" s="3">
        <v>46083</v>
      </c>
      <c r="G3" s="3">
        <v>46085</v>
      </c>
      <c r="H3" s="3">
        <v>46085</v>
      </c>
      <c r="I3" s="2">
        <v>2</v>
      </c>
      <c r="J3" s="4">
        <v>0</v>
      </c>
      <c r="K3" s="5" t="s">
        <v>22</v>
      </c>
      <c r="L3" s="5" t="s">
        <v>17</v>
      </c>
    </row>
    <row r="4" spans="1:12" ht="43.5" x14ac:dyDescent="0.35">
      <c r="A4" s="1" t="s">
        <v>23</v>
      </c>
      <c r="B4" s="2" t="s">
        <v>24</v>
      </c>
      <c r="C4" s="2" t="s">
        <v>25</v>
      </c>
      <c r="D4" s="2" t="s">
        <v>15</v>
      </c>
      <c r="E4" s="3">
        <v>46084</v>
      </c>
      <c r="F4" s="3">
        <v>46084</v>
      </c>
      <c r="G4" s="3">
        <v>46101</v>
      </c>
      <c r="H4" s="3">
        <v>46101</v>
      </c>
      <c r="I4" s="2">
        <v>17</v>
      </c>
      <c r="J4" s="4">
        <v>0</v>
      </c>
      <c r="K4" s="5" t="s">
        <v>26</v>
      </c>
      <c r="L4" s="5" t="s">
        <v>27</v>
      </c>
    </row>
    <row r="5" spans="1:12" x14ac:dyDescent="0.35">
      <c r="A5" s="1" t="s">
        <v>28</v>
      </c>
      <c r="B5" s="2" t="s">
        <v>29</v>
      </c>
      <c r="C5" s="2" t="s">
        <v>14</v>
      </c>
      <c r="D5" s="2" t="s">
        <v>15</v>
      </c>
      <c r="E5" s="3">
        <v>46079</v>
      </c>
      <c r="F5" s="3">
        <v>46079</v>
      </c>
      <c r="G5" s="3">
        <v>46090</v>
      </c>
      <c r="H5" s="3">
        <v>46090</v>
      </c>
      <c r="I5" s="2">
        <v>11</v>
      </c>
      <c r="J5" s="4">
        <v>0</v>
      </c>
      <c r="K5" s="5" t="s">
        <v>30</v>
      </c>
      <c r="L5" s="5" t="s">
        <v>17</v>
      </c>
    </row>
    <row r="6" spans="1:12" ht="43.5" x14ac:dyDescent="0.35">
      <c r="A6" s="1" t="s">
        <v>31</v>
      </c>
      <c r="B6" s="2" t="s">
        <v>32</v>
      </c>
      <c r="C6" s="2" t="s">
        <v>33</v>
      </c>
      <c r="D6" s="2" t="s">
        <v>15</v>
      </c>
      <c r="E6" s="3">
        <v>46076</v>
      </c>
      <c r="F6" s="3">
        <v>46078</v>
      </c>
      <c r="G6" s="3">
        <v>46106</v>
      </c>
      <c r="H6" s="3">
        <v>46106</v>
      </c>
      <c r="I6" s="2">
        <v>30</v>
      </c>
      <c r="J6" s="4">
        <v>0</v>
      </c>
      <c r="K6" s="5" t="s">
        <v>34</v>
      </c>
      <c r="L6" s="5" t="s">
        <v>35</v>
      </c>
    </row>
    <row r="7" spans="1:12" ht="43.5" x14ac:dyDescent="0.35">
      <c r="A7" s="1" t="s">
        <v>36</v>
      </c>
      <c r="B7" s="2" t="s">
        <v>37</v>
      </c>
      <c r="C7" s="2" t="s">
        <v>38</v>
      </c>
      <c r="D7" s="2" t="s">
        <v>15</v>
      </c>
      <c r="E7" s="3">
        <v>46071</v>
      </c>
      <c r="F7" s="3">
        <v>46071</v>
      </c>
      <c r="G7" s="3">
        <v>46112</v>
      </c>
      <c r="H7" s="3">
        <v>46112</v>
      </c>
      <c r="I7" s="2">
        <v>41</v>
      </c>
      <c r="J7" s="4">
        <v>0</v>
      </c>
      <c r="K7" s="5" t="s">
        <v>39</v>
      </c>
      <c r="L7" s="5" t="s">
        <v>17</v>
      </c>
    </row>
    <row r="8" spans="1:12" ht="29" x14ac:dyDescent="0.35">
      <c r="A8" s="1" t="s">
        <v>40</v>
      </c>
      <c r="B8" s="2" t="s">
        <v>41</v>
      </c>
      <c r="C8" s="2" t="s">
        <v>20</v>
      </c>
      <c r="D8" s="2" t="s">
        <v>21</v>
      </c>
      <c r="E8" s="3">
        <v>46070</v>
      </c>
      <c r="F8" s="3">
        <v>46070</v>
      </c>
      <c r="G8" s="3">
        <v>46078</v>
      </c>
      <c r="H8" s="3">
        <v>46078</v>
      </c>
      <c r="I8" s="2">
        <v>8</v>
      </c>
      <c r="J8" s="4">
        <v>0</v>
      </c>
      <c r="K8" s="5" t="s">
        <v>42</v>
      </c>
      <c r="L8" s="5" t="s">
        <v>17</v>
      </c>
    </row>
    <row r="9" spans="1:12" ht="29" x14ac:dyDescent="0.35">
      <c r="A9" s="1" t="s">
        <v>43</v>
      </c>
      <c r="B9" s="2" t="s">
        <v>44</v>
      </c>
      <c r="C9" s="2" t="s">
        <v>20</v>
      </c>
      <c r="D9" s="2" t="s">
        <v>15</v>
      </c>
      <c r="E9" s="3">
        <v>46069</v>
      </c>
      <c r="F9" s="3">
        <v>46069</v>
      </c>
      <c r="G9" s="3">
        <v>46108</v>
      </c>
      <c r="H9" s="3">
        <v>46108</v>
      </c>
      <c r="I9" s="2">
        <v>39</v>
      </c>
      <c r="J9" s="4">
        <v>0</v>
      </c>
      <c r="K9" s="5" t="s">
        <v>45</v>
      </c>
      <c r="L9" s="5" t="s">
        <v>46</v>
      </c>
    </row>
    <row r="10" spans="1:12" x14ac:dyDescent="0.35">
      <c r="A10" s="1" t="s">
        <v>47</v>
      </c>
      <c r="B10" s="2" t="s">
        <v>48</v>
      </c>
      <c r="C10" s="2" t="s">
        <v>20</v>
      </c>
      <c r="D10" s="2" t="s">
        <v>15</v>
      </c>
      <c r="E10" s="3">
        <v>46065</v>
      </c>
      <c r="F10" s="3">
        <v>46065</v>
      </c>
      <c r="G10" s="3">
        <v>46090</v>
      </c>
      <c r="H10" s="3">
        <v>46090</v>
      </c>
      <c r="I10" s="2">
        <v>25</v>
      </c>
      <c r="J10" s="4">
        <v>0</v>
      </c>
      <c r="K10" s="5" t="s">
        <v>49</v>
      </c>
      <c r="L10" s="5" t="s">
        <v>46</v>
      </c>
    </row>
    <row r="11" spans="1:12" ht="72.5" x14ac:dyDescent="0.35">
      <c r="A11" s="1" t="s">
        <v>50</v>
      </c>
      <c r="B11" s="2" t="s">
        <v>51</v>
      </c>
      <c r="C11" s="2" t="s">
        <v>20</v>
      </c>
      <c r="D11" s="2" t="s">
        <v>15</v>
      </c>
      <c r="E11" s="3">
        <v>46062</v>
      </c>
      <c r="F11" s="3">
        <v>46072</v>
      </c>
      <c r="G11" s="3">
        <v>46080</v>
      </c>
      <c r="H11" s="3">
        <v>46080</v>
      </c>
      <c r="I11" s="2">
        <v>18</v>
      </c>
      <c r="J11" s="4">
        <v>0</v>
      </c>
      <c r="K11" s="5" t="s">
        <v>52</v>
      </c>
      <c r="L11" s="5" t="s">
        <v>35</v>
      </c>
    </row>
    <row r="12" spans="1:12" x14ac:dyDescent="0.35">
      <c r="A12" s="1" t="s">
        <v>53</v>
      </c>
      <c r="B12" s="2" t="s">
        <v>54</v>
      </c>
      <c r="C12" s="2" t="s">
        <v>25</v>
      </c>
      <c r="D12" s="2" t="s">
        <v>15</v>
      </c>
      <c r="E12" s="3">
        <v>46057</v>
      </c>
      <c r="F12" s="3">
        <v>46057</v>
      </c>
      <c r="G12" s="3">
        <v>46083</v>
      </c>
      <c r="H12" s="3">
        <v>46083</v>
      </c>
      <c r="I12" s="2">
        <v>26</v>
      </c>
      <c r="J12" s="4">
        <v>0</v>
      </c>
      <c r="K12" s="5" t="s">
        <v>55</v>
      </c>
      <c r="L12" s="5" t="s">
        <v>17</v>
      </c>
    </row>
    <row r="13" spans="1:12" ht="29" x14ac:dyDescent="0.35">
      <c r="A13" s="1" t="s">
        <v>56</v>
      </c>
      <c r="B13" s="2" t="s">
        <v>57</v>
      </c>
      <c r="C13" s="2" t="s">
        <v>20</v>
      </c>
      <c r="D13" s="2" t="s">
        <v>21</v>
      </c>
      <c r="E13" s="3">
        <v>46044</v>
      </c>
      <c r="F13" s="3">
        <v>46044</v>
      </c>
      <c r="G13" s="3">
        <v>46063</v>
      </c>
      <c r="H13" s="3">
        <v>46063</v>
      </c>
      <c r="I13" s="2">
        <v>19</v>
      </c>
      <c r="J13" s="4">
        <v>0</v>
      </c>
      <c r="K13" s="5" t="s">
        <v>58</v>
      </c>
      <c r="L13" s="5" t="s">
        <v>59</v>
      </c>
    </row>
    <row r="14" spans="1:12" ht="72.5" x14ac:dyDescent="0.35">
      <c r="A14" s="1" t="s">
        <v>60</v>
      </c>
      <c r="B14" s="2" t="s">
        <v>61</v>
      </c>
      <c r="C14" s="2" t="s">
        <v>33</v>
      </c>
      <c r="D14" s="2" t="s">
        <v>21</v>
      </c>
      <c r="E14" s="3">
        <v>46038</v>
      </c>
      <c r="F14" s="3">
        <v>46059</v>
      </c>
      <c r="G14" s="3">
        <v>46057</v>
      </c>
      <c r="H14" s="3">
        <v>46057</v>
      </c>
      <c r="I14" s="2">
        <v>19</v>
      </c>
      <c r="J14" s="4">
        <v>0</v>
      </c>
      <c r="K14" s="5" t="s">
        <v>62</v>
      </c>
      <c r="L14" s="5" t="s">
        <v>63</v>
      </c>
    </row>
    <row r="15" spans="1:12" ht="87" x14ac:dyDescent="0.35">
      <c r="A15" s="1" t="s">
        <v>64</v>
      </c>
      <c r="B15" s="2" t="s">
        <v>65</v>
      </c>
      <c r="C15" s="2" t="s">
        <v>33</v>
      </c>
      <c r="D15" s="2" t="s">
        <v>21</v>
      </c>
      <c r="E15" s="3">
        <v>46035</v>
      </c>
      <c r="F15" s="3">
        <v>46048</v>
      </c>
      <c r="G15" s="3">
        <v>46086</v>
      </c>
      <c r="H15" s="3">
        <v>46086</v>
      </c>
      <c r="I15" s="2">
        <v>51</v>
      </c>
      <c r="J15" s="4">
        <v>0</v>
      </c>
      <c r="K15" s="5" t="s">
        <v>66</v>
      </c>
      <c r="L15" s="5" t="s">
        <v>67</v>
      </c>
    </row>
    <row r="16" spans="1:12" ht="101.5" x14ac:dyDescent="0.35">
      <c r="A16" s="1" t="s">
        <v>68</v>
      </c>
      <c r="B16" s="2" t="s">
        <v>69</v>
      </c>
      <c r="C16" s="2" t="s">
        <v>14</v>
      </c>
      <c r="D16" s="2" t="s">
        <v>21</v>
      </c>
      <c r="E16" s="3">
        <v>46031</v>
      </c>
      <c r="F16" s="3">
        <v>46036</v>
      </c>
      <c r="G16" s="3">
        <v>46065</v>
      </c>
      <c r="H16" s="3">
        <v>46065</v>
      </c>
      <c r="I16" s="2">
        <v>34</v>
      </c>
      <c r="J16" s="4">
        <v>0</v>
      </c>
      <c r="K16" s="5" t="s">
        <v>70</v>
      </c>
      <c r="L16" s="5" t="s">
        <v>71</v>
      </c>
    </row>
    <row r="17" spans="1:12" ht="246.5" x14ac:dyDescent="0.35">
      <c r="A17" s="1" t="s">
        <v>72</v>
      </c>
      <c r="B17" s="2" t="s">
        <v>73</v>
      </c>
      <c r="C17" s="2" t="s">
        <v>33</v>
      </c>
      <c r="D17" s="2" t="s">
        <v>15</v>
      </c>
      <c r="E17" s="3">
        <v>46029</v>
      </c>
      <c r="F17" s="3">
        <v>46126</v>
      </c>
      <c r="G17" s="3">
        <v>46038</v>
      </c>
      <c r="H17" s="3">
        <v>46129</v>
      </c>
      <c r="I17" s="2">
        <v>9</v>
      </c>
      <c r="J17" s="4">
        <v>91</v>
      </c>
      <c r="K17" s="5" t="s">
        <v>74</v>
      </c>
      <c r="L17" s="5" t="s">
        <v>75</v>
      </c>
    </row>
    <row r="18" spans="1:12" ht="43.5" x14ac:dyDescent="0.35">
      <c r="A18" s="1" t="s">
        <v>76</v>
      </c>
      <c r="B18" s="2" t="s">
        <v>77</v>
      </c>
      <c r="C18" s="2" t="s">
        <v>38</v>
      </c>
      <c r="D18" s="2" t="s">
        <v>21</v>
      </c>
      <c r="E18" s="3">
        <v>46008</v>
      </c>
      <c r="F18" s="3">
        <v>46008</v>
      </c>
      <c r="G18" s="3">
        <v>46044</v>
      </c>
      <c r="H18" s="3">
        <v>46044</v>
      </c>
      <c r="I18" s="2">
        <v>36</v>
      </c>
      <c r="J18" s="4">
        <v>0</v>
      </c>
      <c r="K18" s="5" t="s">
        <v>39</v>
      </c>
      <c r="L18" s="5" t="s">
        <v>17</v>
      </c>
    </row>
    <row r="19" spans="1:12" ht="43.5" x14ac:dyDescent="0.35">
      <c r="A19" s="1" t="s">
        <v>78</v>
      </c>
      <c r="B19" s="2" t="s">
        <v>79</v>
      </c>
      <c r="C19" s="2" t="s">
        <v>14</v>
      </c>
      <c r="D19" s="2" t="s">
        <v>15</v>
      </c>
      <c r="E19" s="3">
        <v>46006</v>
      </c>
      <c r="F19" s="3">
        <v>46072</v>
      </c>
      <c r="G19" s="3">
        <v>46111</v>
      </c>
      <c r="H19" s="3">
        <v>46111</v>
      </c>
      <c r="I19" s="2">
        <v>105</v>
      </c>
      <c r="J19" s="4">
        <v>0</v>
      </c>
      <c r="K19" s="5" t="s">
        <v>80</v>
      </c>
      <c r="L19" s="5" t="s">
        <v>35</v>
      </c>
    </row>
    <row r="20" spans="1:12" x14ac:dyDescent="0.35">
      <c r="A20" s="1" t="s">
        <v>81</v>
      </c>
      <c r="B20" s="2" t="s">
        <v>82</v>
      </c>
      <c r="C20" s="2" t="s">
        <v>25</v>
      </c>
      <c r="D20" s="2" t="s">
        <v>15</v>
      </c>
      <c r="E20" s="3">
        <v>46006</v>
      </c>
      <c r="F20" s="3">
        <v>46006</v>
      </c>
      <c r="G20" s="3">
        <v>46073</v>
      </c>
      <c r="H20" s="3">
        <v>46073</v>
      </c>
      <c r="I20" s="2">
        <v>67</v>
      </c>
      <c r="J20" s="4">
        <v>0</v>
      </c>
      <c r="K20" s="5" t="s">
        <v>55</v>
      </c>
      <c r="L20" s="5" t="s">
        <v>27</v>
      </c>
    </row>
    <row r="21" spans="1:12" ht="43.5" x14ac:dyDescent="0.35">
      <c r="A21" s="1" t="s">
        <v>83</v>
      </c>
      <c r="B21" s="2" t="s">
        <v>84</v>
      </c>
      <c r="C21" s="2" t="s">
        <v>33</v>
      </c>
      <c r="D21" s="2" t="s">
        <v>15</v>
      </c>
      <c r="E21" s="3">
        <v>46001</v>
      </c>
      <c r="F21" s="3">
        <v>46030</v>
      </c>
      <c r="G21" s="3">
        <v>46045</v>
      </c>
      <c r="H21" s="3">
        <v>46045</v>
      </c>
      <c r="I21" s="2">
        <v>44</v>
      </c>
      <c r="J21" s="4">
        <v>0</v>
      </c>
      <c r="K21" s="5" t="s">
        <v>85</v>
      </c>
      <c r="L21" s="5" t="s">
        <v>86</v>
      </c>
    </row>
    <row r="22" spans="1:12" ht="87" x14ac:dyDescent="0.35">
      <c r="A22" s="1" t="s">
        <v>87</v>
      </c>
      <c r="B22" s="2" t="s">
        <v>88</v>
      </c>
      <c r="C22" s="2" t="s">
        <v>20</v>
      </c>
      <c r="D22" s="2" t="s">
        <v>15</v>
      </c>
      <c r="E22" s="3">
        <v>46002</v>
      </c>
      <c r="F22" s="3">
        <v>46008</v>
      </c>
      <c r="G22" s="3">
        <v>46029</v>
      </c>
      <c r="H22" s="3">
        <v>46029</v>
      </c>
      <c r="I22" s="2">
        <v>27</v>
      </c>
      <c r="J22" s="4">
        <v>0</v>
      </c>
      <c r="K22" s="5" t="s">
        <v>89</v>
      </c>
      <c r="L22" s="5" t="s">
        <v>90</v>
      </c>
    </row>
    <row r="23" spans="1:12" ht="72.5" x14ac:dyDescent="0.35">
      <c r="A23" s="1" t="s">
        <v>91</v>
      </c>
      <c r="B23" s="2" t="s">
        <v>92</v>
      </c>
      <c r="C23" s="2" t="s">
        <v>20</v>
      </c>
      <c r="D23" s="2" t="s">
        <v>21</v>
      </c>
      <c r="E23" s="3">
        <v>45989</v>
      </c>
      <c r="F23" s="3">
        <v>46034</v>
      </c>
      <c r="G23" s="3">
        <v>46044</v>
      </c>
      <c r="H23" s="3">
        <v>46044</v>
      </c>
      <c r="I23" s="2">
        <v>55</v>
      </c>
      <c r="J23" s="4">
        <v>0</v>
      </c>
      <c r="K23" s="5" t="s">
        <v>93</v>
      </c>
      <c r="L23" s="5" t="s">
        <v>94</v>
      </c>
    </row>
    <row r="24" spans="1:12" ht="43.5" x14ac:dyDescent="0.35">
      <c r="A24" s="1" t="s">
        <v>95</v>
      </c>
      <c r="B24" s="2" t="s">
        <v>96</v>
      </c>
      <c r="C24" s="2" t="s">
        <v>33</v>
      </c>
      <c r="D24" s="2" t="s">
        <v>21</v>
      </c>
      <c r="E24" s="3">
        <v>45986</v>
      </c>
      <c r="F24" s="3">
        <v>46077</v>
      </c>
      <c r="G24" s="3">
        <v>46008</v>
      </c>
      <c r="H24" s="3">
        <v>46080</v>
      </c>
      <c r="I24" s="2">
        <v>22</v>
      </c>
      <c r="J24" s="4">
        <v>72</v>
      </c>
      <c r="K24" s="5" t="s">
        <v>97</v>
      </c>
      <c r="L24" s="5" t="s">
        <v>98</v>
      </c>
    </row>
    <row r="25" spans="1:12" ht="43.5" x14ac:dyDescent="0.35">
      <c r="A25" s="1" t="s">
        <v>99</v>
      </c>
      <c r="B25" s="2" t="s">
        <v>100</v>
      </c>
      <c r="C25" s="2" t="s">
        <v>20</v>
      </c>
      <c r="D25" s="2" t="s">
        <v>15</v>
      </c>
      <c r="E25" s="3">
        <v>45985</v>
      </c>
      <c r="F25" s="3">
        <v>46057</v>
      </c>
      <c r="G25" s="3">
        <v>46098</v>
      </c>
      <c r="H25" s="3">
        <v>46098</v>
      </c>
      <c r="I25" s="2">
        <v>113</v>
      </c>
      <c r="J25" s="4">
        <v>0</v>
      </c>
      <c r="K25" s="5" t="s">
        <v>70</v>
      </c>
      <c r="L25" s="5" t="s">
        <v>67</v>
      </c>
    </row>
    <row r="26" spans="1:12" ht="101.5" x14ac:dyDescent="0.35">
      <c r="A26" s="1" t="s">
        <v>101</v>
      </c>
      <c r="B26" s="2" t="s">
        <v>102</v>
      </c>
      <c r="C26" s="2" t="s">
        <v>20</v>
      </c>
      <c r="D26" s="2" t="s">
        <v>21</v>
      </c>
      <c r="E26" s="3">
        <v>45985</v>
      </c>
      <c r="F26" s="3">
        <v>45989</v>
      </c>
      <c r="G26" s="3">
        <v>46003</v>
      </c>
      <c r="H26" s="3">
        <v>46003</v>
      </c>
      <c r="I26" s="2">
        <v>18</v>
      </c>
      <c r="J26" s="4">
        <v>0</v>
      </c>
      <c r="K26" s="5" t="s">
        <v>103</v>
      </c>
      <c r="L26" s="5" t="s">
        <v>104</v>
      </c>
    </row>
    <row r="27" spans="1:12" ht="58" x14ac:dyDescent="0.35">
      <c r="A27" s="1" t="s">
        <v>105</v>
      </c>
      <c r="B27" s="2" t="s">
        <v>106</v>
      </c>
      <c r="C27" s="2" t="s">
        <v>33</v>
      </c>
      <c r="D27" s="2" t="s">
        <v>21</v>
      </c>
      <c r="E27" s="3">
        <v>45982</v>
      </c>
      <c r="F27" s="3">
        <v>46037</v>
      </c>
      <c r="G27" s="3">
        <v>46107</v>
      </c>
      <c r="H27" s="3">
        <v>46107</v>
      </c>
      <c r="I27" s="2">
        <v>125</v>
      </c>
      <c r="J27" s="4">
        <v>0</v>
      </c>
      <c r="K27" s="5" t="s">
        <v>107</v>
      </c>
      <c r="L27" s="5" t="s">
        <v>108</v>
      </c>
    </row>
    <row r="28" spans="1:12" ht="72.5" x14ac:dyDescent="0.35">
      <c r="A28" s="1" t="s">
        <v>109</v>
      </c>
      <c r="B28" s="2" t="s">
        <v>110</v>
      </c>
      <c r="C28" s="2" t="s">
        <v>38</v>
      </c>
      <c r="D28" s="2" t="s">
        <v>21</v>
      </c>
      <c r="E28" s="3">
        <v>45985</v>
      </c>
      <c r="F28" s="3">
        <v>45992</v>
      </c>
      <c r="G28" s="3">
        <v>46083</v>
      </c>
      <c r="H28" s="3">
        <v>46083</v>
      </c>
      <c r="I28" s="2">
        <v>98</v>
      </c>
      <c r="J28" s="4">
        <v>0</v>
      </c>
      <c r="K28" s="5" t="s">
        <v>111</v>
      </c>
      <c r="L28" s="5" t="s">
        <v>112</v>
      </c>
    </row>
    <row r="29" spans="1:12" ht="72.5" x14ac:dyDescent="0.35">
      <c r="A29" s="1" t="s">
        <v>113</v>
      </c>
      <c r="B29" s="2" t="s">
        <v>114</v>
      </c>
      <c r="C29" s="2" t="s">
        <v>25</v>
      </c>
      <c r="D29" s="2" t="s">
        <v>21</v>
      </c>
      <c r="E29" s="3">
        <v>45980</v>
      </c>
      <c r="F29" s="3">
        <v>45980</v>
      </c>
      <c r="G29" s="3">
        <v>45988</v>
      </c>
      <c r="H29" s="3">
        <v>45988</v>
      </c>
      <c r="I29" s="2">
        <v>8</v>
      </c>
      <c r="J29" s="4">
        <v>0</v>
      </c>
      <c r="K29" s="5" t="s">
        <v>52</v>
      </c>
      <c r="L29" s="5" t="s">
        <v>115</v>
      </c>
    </row>
    <row r="30" spans="1:12" ht="101.5" x14ac:dyDescent="0.35">
      <c r="A30" s="1" t="s">
        <v>116</v>
      </c>
      <c r="B30" s="2" t="s">
        <v>117</v>
      </c>
      <c r="C30" s="2" t="s">
        <v>33</v>
      </c>
      <c r="D30" s="2" t="s">
        <v>15</v>
      </c>
      <c r="E30" s="3">
        <v>45979</v>
      </c>
      <c r="F30" s="3">
        <v>46114</v>
      </c>
      <c r="G30" s="3">
        <v>46001</v>
      </c>
      <c r="H30" s="3">
        <v>46001</v>
      </c>
      <c r="I30" s="2">
        <v>22</v>
      </c>
      <c r="J30" s="4">
        <v>0</v>
      </c>
      <c r="K30" s="5" t="s">
        <v>118</v>
      </c>
      <c r="L30" s="5" t="s">
        <v>108</v>
      </c>
    </row>
    <row r="31" spans="1:12" ht="43.5" x14ac:dyDescent="0.35">
      <c r="A31" s="1" t="s">
        <v>119</v>
      </c>
      <c r="B31" s="2" t="s">
        <v>120</v>
      </c>
      <c r="C31" s="2" t="s">
        <v>20</v>
      </c>
      <c r="D31" s="2" t="s">
        <v>21</v>
      </c>
      <c r="E31" s="3">
        <v>45978</v>
      </c>
      <c r="F31" s="3">
        <v>46038</v>
      </c>
      <c r="G31" s="3">
        <v>46045</v>
      </c>
      <c r="H31" s="3">
        <v>46056</v>
      </c>
      <c r="I31" s="2">
        <v>67</v>
      </c>
      <c r="J31" s="4">
        <v>11</v>
      </c>
      <c r="K31" s="5" t="s">
        <v>121</v>
      </c>
      <c r="L31" s="5" t="s">
        <v>122</v>
      </c>
    </row>
    <row r="32" spans="1:12" ht="29" x14ac:dyDescent="0.35">
      <c r="A32" s="1" t="s">
        <v>123</v>
      </c>
      <c r="B32" s="2" t="s">
        <v>124</v>
      </c>
      <c r="C32" s="2" t="s">
        <v>33</v>
      </c>
      <c r="D32" s="2" t="s">
        <v>15</v>
      </c>
      <c r="E32" s="3">
        <v>45972</v>
      </c>
      <c r="F32" s="3">
        <v>45972</v>
      </c>
      <c r="G32" s="3">
        <v>45986</v>
      </c>
      <c r="H32" s="3">
        <v>45986</v>
      </c>
      <c r="I32" s="2">
        <v>14</v>
      </c>
      <c r="J32" s="4">
        <v>0</v>
      </c>
      <c r="K32" s="5" t="s">
        <v>58</v>
      </c>
      <c r="L32" s="5" t="s">
        <v>17</v>
      </c>
    </row>
    <row r="33" spans="1:12" ht="29" x14ac:dyDescent="0.35">
      <c r="A33" s="1" t="s">
        <v>125</v>
      </c>
      <c r="B33" s="2" t="s">
        <v>126</v>
      </c>
      <c r="C33" s="2" t="s">
        <v>33</v>
      </c>
      <c r="D33" s="2" t="s">
        <v>15</v>
      </c>
      <c r="E33" s="3">
        <v>45966</v>
      </c>
      <c r="F33" s="3">
        <v>45966</v>
      </c>
      <c r="G33" s="3">
        <v>46029</v>
      </c>
      <c r="H33" s="3">
        <v>46029</v>
      </c>
      <c r="I33" s="2">
        <v>63</v>
      </c>
      <c r="J33" s="4">
        <v>0</v>
      </c>
      <c r="K33" s="5" t="s">
        <v>127</v>
      </c>
      <c r="L33" s="5" t="s">
        <v>17</v>
      </c>
    </row>
    <row r="34" spans="1:12" ht="29" x14ac:dyDescent="0.35">
      <c r="A34" s="1" t="s">
        <v>128</v>
      </c>
      <c r="B34" s="2" t="s">
        <v>129</v>
      </c>
      <c r="C34" s="2" t="s">
        <v>130</v>
      </c>
      <c r="D34" s="2" t="s">
        <v>15</v>
      </c>
      <c r="E34" s="3">
        <v>45965</v>
      </c>
      <c r="F34" s="3">
        <v>45968</v>
      </c>
      <c r="G34" s="3">
        <v>45981</v>
      </c>
      <c r="H34" s="3">
        <v>45981</v>
      </c>
      <c r="I34" s="2">
        <v>16</v>
      </c>
      <c r="J34" s="4">
        <v>0</v>
      </c>
      <c r="K34" s="5" t="s">
        <v>131</v>
      </c>
      <c r="L34" s="5" t="s">
        <v>63</v>
      </c>
    </row>
    <row r="35" spans="1:12" ht="58" x14ac:dyDescent="0.35">
      <c r="A35" s="1" t="s">
        <v>132</v>
      </c>
      <c r="B35" s="2" t="s">
        <v>133</v>
      </c>
      <c r="C35" s="2" t="s">
        <v>33</v>
      </c>
      <c r="D35" s="2" t="s">
        <v>15</v>
      </c>
      <c r="E35" s="3">
        <v>45965</v>
      </c>
      <c r="F35" s="3">
        <v>46000</v>
      </c>
      <c r="G35" s="3">
        <v>46029</v>
      </c>
      <c r="H35" s="3">
        <v>46029</v>
      </c>
      <c r="I35" s="2">
        <v>64</v>
      </c>
      <c r="J35" s="4">
        <v>0</v>
      </c>
      <c r="K35" s="5" t="s">
        <v>134</v>
      </c>
      <c r="L35" s="5" t="s">
        <v>67</v>
      </c>
    </row>
    <row r="36" spans="1:12" ht="87" x14ac:dyDescent="0.35">
      <c r="A36" s="1" t="s">
        <v>135</v>
      </c>
      <c r="B36" s="2" t="s">
        <v>136</v>
      </c>
      <c r="C36" s="2" t="s">
        <v>137</v>
      </c>
      <c r="D36" s="2" t="s">
        <v>21</v>
      </c>
      <c r="E36" s="3">
        <v>45960</v>
      </c>
      <c r="F36" s="3">
        <v>45994</v>
      </c>
      <c r="G36" s="3">
        <v>46041</v>
      </c>
      <c r="H36" s="3">
        <v>46041</v>
      </c>
      <c r="I36" s="2">
        <v>81</v>
      </c>
      <c r="J36" s="4">
        <v>0</v>
      </c>
      <c r="K36" s="5" t="s">
        <v>138</v>
      </c>
      <c r="L36" s="5" t="s">
        <v>139</v>
      </c>
    </row>
    <row r="37" spans="1:12" ht="29" x14ac:dyDescent="0.35">
      <c r="A37" s="1" t="s">
        <v>140</v>
      </c>
      <c r="B37" s="2" t="s">
        <v>141</v>
      </c>
      <c r="C37" s="2" t="s">
        <v>20</v>
      </c>
      <c r="D37" s="2" t="s">
        <v>21</v>
      </c>
      <c r="E37" s="3">
        <v>45952</v>
      </c>
      <c r="F37" s="3">
        <v>45952</v>
      </c>
      <c r="G37" s="3">
        <v>45972</v>
      </c>
      <c r="H37" s="3">
        <v>45972</v>
      </c>
      <c r="I37" s="2">
        <v>20</v>
      </c>
      <c r="J37" s="4">
        <v>0</v>
      </c>
      <c r="K37" s="5" t="s">
        <v>58</v>
      </c>
      <c r="L37" s="5" t="s">
        <v>17</v>
      </c>
    </row>
    <row r="38" spans="1:12" ht="58" x14ac:dyDescent="0.35">
      <c r="A38" s="1" t="s">
        <v>142</v>
      </c>
      <c r="B38" s="2" t="s">
        <v>143</v>
      </c>
      <c r="C38" s="2" t="s">
        <v>33</v>
      </c>
      <c r="D38" s="2" t="s">
        <v>15</v>
      </c>
      <c r="E38" s="3">
        <v>45952</v>
      </c>
      <c r="F38" s="3">
        <v>45958</v>
      </c>
      <c r="G38" s="3">
        <v>45973</v>
      </c>
      <c r="H38" s="3">
        <v>45973</v>
      </c>
      <c r="I38" s="2">
        <v>21</v>
      </c>
      <c r="J38" s="4">
        <v>0</v>
      </c>
      <c r="K38" s="5" t="s">
        <v>144</v>
      </c>
      <c r="L38" s="5" t="s">
        <v>145</v>
      </c>
    </row>
    <row r="39" spans="1:12" ht="72.5" x14ac:dyDescent="0.35">
      <c r="A39" s="1" t="s">
        <v>146</v>
      </c>
      <c r="B39" s="2" t="s">
        <v>147</v>
      </c>
      <c r="C39" s="2" t="s">
        <v>20</v>
      </c>
      <c r="D39" s="2" t="s">
        <v>21</v>
      </c>
      <c r="E39" s="3">
        <v>45951</v>
      </c>
      <c r="F39" s="3">
        <v>45951</v>
      </c>
      <c r="G39" s="3">
        <v>46090</v>
      </c>
      <c r="H39" s="3">
        <v>46090</v>
      </c>
      <c r="I39" s="2">
        <v>139</v>
      </c>
      <c r="J39" s="4">
        <v>0</v>
      </c>
      <c r="K39" s="5" t="s">
        <v>148</v>
      </c>
      <c r="L39" s="5" t="s">
        <v>67</v>
      </c>
    </row>
    <row r="40" spans="1:12" ht="43.5" x14ac:dyDescent="0.35">
      <c r="A40" s="1" t="s">
        <v>149</v>
      </c>
      <c r="B40" s="2" t="s">
        <v>150</v>
      </c>
      <c r="C40" s="2" t="s">
        <v>151</v>
      </c>
      <c r="D40" s="2" t="s">
        <v>21</v>
      </c>
      <c r="E40" s="3">
        <v>45950</v>
      </c>
      <c r="F40" s="3">
        <v>46037</v>
      </c>
      <c r="G40" s="3">
        <v>46076</v>
      </c>
      <c r="H40" s="3">
        <v>46076</v>
      </c>
      <c r="I40" s="2">
        <v>126</v>
      </c>
      <c r="J40" s="4">
        <v>0</v>
      </c>
      <c r="K40" s="5" t="s">
        <v>152</v>
      </c>
      <c r="L40" s="5" t="s">
        <v>35</v>
      </c>
    </row>
    <row r="41" spans="1:12" ht="72.5" x14ac:dyDescent="0.35">
      <c r="A41" s="1" t="s">
        <v>153</v>
      </c>
      <c r="B41" s="2" t="s">
        <v>154</v>
      </c>
      <c r="C41" s="2" t="s">
        <v>20</v>
      </c>
      <c r="D41" s="2" t="s">
        <v>21</v>
      </c>
      <c r="E41" s="3">
        <v>45945</v>
      </c>
      <c r="F41" s="3">
        <v>45964</v>
      </c>
      <c r="G41" s="3">
        <v>45993</v>
      </c>
      <c r="H41" s="3">
        <v>45993</v>
      </c>
      <c r="I41" s="2">
        <v>48</v>
      </c>
      <c r="J41" s="4">
        <v>0</v>
      </c>
      <c r="K41" s="5" t="s">
        <v>155</v>
      </c>
      <c r="L41" s="5" t="s">
        <v>156</v>
      </c>
    </row>
    <row r="42" spans="1:12" ht="29" x14ac:dyDescent="0.35">
      <c r="A42" s="1" t="s">
        <v>157</v>
      </c>
      <c r="B42" s="2" t="s">
        <v>158</v>
      </c>
      <c r="C42" s="2" t="s">
        <v>20</v>
      </c>
      <c r="D42" s="2" t="s">
        <v>21</v>
      </c>
      <c r="E42" s="3">
        <v>45944</v>
      </c>
      <c r="F42" s="3">
        <v>45950</v>
      </c>
      <c r="G42" s="3">
        <v>45957</v>
      </c>
      <c r="H42" s="3">
        <v>45957</v>
      </c>
      <c r="I42" s="2">
        <v>13</v>
      </c>
      <c r="J42" s="4">
        <v>0</v>
      </c>
      <c r="K42" s="5" t="s">
        <v>159</v>
      </c>
      <c r="L42" s="5" t="s">
        <v>35</v>
      </c>
    </row>
    <row r="43" spans="1:12" ht="29" x14ac:dyDescent="0.35">
      <c r="A43" s="1" t="s">
        <v>160</v>
      </c>
      <c r="B43" s="2" t="s">
        <v>161</v>
      </c>
      <c r="C43" s="2" t="s">
        <v>33</v>
      </c>
      <c r="D43" s="2" t="s">
        <v>21</v>
      </c>
      <c r="E43" s="3">
        <v>45938</v>
      </c>
      <c r="F43" s="3">
        <v>45951</v>
      </c>
      <c r="G43" s="3">
        <v>45966</v>
      </c>
      <c r="H43" s="3">
        <v>45966</v>
      </c>
      <c r="I43" s="2">
        <v>28</v>
      </c>
      <c r="J43" s="4">
        <v>0</v>
      </c>
      <c r="K43" s="5" t="s">
        <v>162</v>
      </c>
      <c r="L43" s="5" t="s">
        <v>35</v>
      </c>
    </row>
    <row r="44" spans="1:12" ht="72.5" x14ac:dyDescent="0.35">
      <c r="A44" s="1" t="s">
        <v>163</v>
      </c>
      <c r="B44" s="2" t="s">
        <v>164</v>
      </c>
      <c r="C44" s="2" t="s">
        <v>20</v>
      </c>
      <c r="D44" s="2" t="s">
        <v>15</v>
      </c>
      <c r="E44" s="3">
        <v>45943</v>
      </c>
      <c r="F44" s="3">
        <v>45943</v>
      </c>
      <c r="G44" s="3">
        <v>45978</v>
      </c>
      <c r="H44" s="3">
        <v>45978</v>
      </c>
      <c r="I44" s="2">
        <v>35</v>
      </c>
      <c r="J44" s="4">
        <v>0</v>
      </c>
      <c r="K44" s="5" t="s">
        <v>165</v>
      </c>
      <c r="L44" s="5" t="s">
        <v>35</v>
      </c>
    </row>
    <row r="45" spans="1:12" ht="72.5" x14ac:dyDescent="0.35">
      <c r="A45" s="1" t="s">
        <v>166</v>
      </c>
      <c r="B45" s="2" t="s">
        <v>167</v>
      </c>
      <c r="C45" s="2" t="s">
        <v>20</v>
      </c>
      <c r="D45" s="2" t="s">
        <v>21</v>
      </c>
      <c r="E45" s="3">
        <v>45937</v>
      </c>
      <c r="F45" s="3">
        <v>45957</v>
      </c>
      <c r="G45" s="3">
        <v>45965</v>
      </c>
      <c r="H45" s="3">
        <v>45965</v>
      </c>
      <c r="I45" s="2">
        <v>28</v>
      </c>
      <c r="J45" s="4">
        <v>0</v>
      </c>
      <c r="K45" s="5" t="s">
        <v>97</v>
      </c>
      <c r="L45" s="5" t="s">
        <v>168</v>
      </c>
    </row>
    <row r="46" spans="1:12" ht="72.5" x14ac:dyDescent="0.35">
      <c r="A46" s="1" t="s">
        <v>169</v>
      </c>
      <c r="B46" s="2" t="s">
        <v>170</v>
      </c>
      <c r="C46" s="2" t="s">
        <v>171</v>
      </c>
      <c r="D46" s="2" t="s">
        <v>21</v>
      </c>
      <c r="E46" s="3">
        <v>45932</v>
      </c>
      <c r="F46" s="3">
        <v>45937</v>
      </c>
      <c r="G46" s="3">
        <v>46023</v>
      </c>
      <c r="H46" s="3">
        <v>46023</v>
      </c>
      <c r="I46" s="2">
        <v>91</v>
      </c>
      <c r="J46" s="4">
        <v>0</v>
      </c>
      <c r="K46" s="5" t="s">
        <v>111</v>
      </c>
      <c r="L46" s="5" t="s">
        <v>112</v>
      </c>
    </row>
    <row r="47" spans="1:12" ht="72.5" x14ac:dyDescent="0.35">
      <c r="A47" s="1" t="s">
        <v>172</v>
      </c>
      <c r="B47" s="2" t="s">
        <v>173</v>
      </c>
      <c r="C47" s="2" t="s">
        <v>33</v>
      </c>
      <c r="D47" s="2" t="s">
        <v>21</v>
      </c>
      <c r="E47" s="3">
        <v>45930</v>
      </c>
      <c r="F47" s="3">
        <v>45965</v>
      </c>
      <c r="G47" s="3">
        <v>45971</v>
      </c>
      <c r="H47" s="3">
        <v>45971</v>
      </c>
      <c r="I47" s="2">
        <v>41</v>
      </c>
      <c r="J47" s="4">
        <v>0</v>
      </c>
      <c r="K47" s="5" t="s">
        <v>174</v>
      </c>
      <c r="L47" s="5" t="s">
        <v>175</v>
      </c>
    </row>
    <row r="48" spans="1:12" ht="29" x14ac:dyDescent="0.35">
      <c r="A48" s="1" t="s">
        <v>176</v>
      </c>
      <c r="B48" s="2" t="s">
        <v>177</v>
      </c>
      <c r="C48" s="2" t="s">
        <v>25</v>
      </c>
      <c r="D48" s="2" t="s">
        <v>15</v>
      </c>
      <c r="E48" s="3">
        <v>45929</v>
      </c>
      <c r="F48" s="3">
        <v>45929</v>
      </c>
      <c r="G48" s="3">
        <v>45936</v>
      </c>
      <c r="H48" s="3">
        <v>45936</v>
      </c>
      <c r="I48" s="2">
        <v>7</v>
      </c>
      <c r="J48" s="4">
        <v>0</v>
      </c>
      <c r="K48" s="5" t="s">
        <v>178</v>
      </c>
      <c r="L48" s="5" t="s">
        <v>46</v>
      </c>
    </row>
    <row r="49" spans="1:12" ht="116" x14ac:dyDescent="0.35">
      <c r="A49" s="1" t="s">
        <v>179</v>
      </c>
      <c r="B49" s="2" t="s">
        <v>180</v>
      </c>
      <c r="C49" s="2" t="s">
        <v>38</v>
      </c>
      <c r="D49" s="2" t="s">
        <v>15</v>
      </c>
      <c r="E49" s="3">
        <v>45926</v>
      </c>
      <c r="F49" s="3">
        <v>45953</v>
      </c>
      <c r="G49" s="3">
        <v>45943</v>
      </c>
      <c r="H49" s="3">
        <v>45965</v>
      </c>
      <c r="I49" s="2">
        <v>17</v>
      </c>
      <c r="J49" s="4">
        <v>22</v>
      </c>
      <c r="K49" s="5" t="s">
        <v>181</v>
      </c>
      <c r="L49" s="5" t="s">
        <v>175</v>
      </c>
    </row>
    <row r="50" spans="1:12" ht="29" x14ac:dyDescent="0.35">
      <c r="A50" s="1" t="s">
        <v>182</v>
      </c>
      <c r="B50" s="2" t="s">
        <v>183</v>
      </c>
      <c r="C50" s="2" t="s">
        <v>151</v>
      </c>
      <c r="D50" s="2" t="s">
        <v>21</v>
      </c>
      <c r="E50" s="3">
        <v>45926</v>
      </c>
      <c r="F50" s="3">
        <v>45938</v>
      </c>
      <c r="G50" s="3">
        <v>45944</v>
      </c>
      <c r="H50" s="3">
        <v>45944</v>
      </c>
      <c r="I50" s="2">
        <v>18</v>
      </c>
      <c r="J50" s="4">
        <v>0</v>
      </c>
      <c r="K50" s="5" t="s">
        <v>184</v>
      </c>
      <c r="L50" s="5" t="s">
        <v>35</v>
      </c>
    </row>
    <row r="51" spans="1:12" ht="29" x14ac:dyDescent="0.35">
      <c r="A51" s="1" t="s">
        <v>185</v>
      </c>
      <c r="B51" s="2" t="s">
        <v>186</v>
      </c>
      <c r="C51" s="2" t="s">
        <v>187</v>
      </c>
      <c r="D51" s="2" t="s">
        <v>21</v>
      </c>
      <c r="E51" s="3">
        <v>45924</v>
      </c>
      <c r="F51" s="3">
        <v>46043</v>
      </c>
      <c r="G51" s="3">
        <v>45978</v>
      </c>
      <c r="H51" s="3">
        <v>46052</v>
      </c>
      <c r="I51" s="2">
        <v>54</v>
      </c>
      <c r="J51" s="4">
        <v>74</v>
      </c>
      <c r="K51" s="5" t="s">
        <v>188</v>
      </c>
      <c r="L51" s="5" t="s">
        <v>35</v>
      </c>
    </row>
    <row r="52" spans="1:12" x14ac:dyDescent="0.35">
      <c r="A52" s="1" t="s">
        <v>189</v>
      </c>
      <c r="B52" s="2" t="s">
        <v>190</v>
      </c>
      <c r="C52" s="2" t="s">
        <v>33</v>
      </c>
      <c r="D52" s="2" t="s">
        <v>15</v>
      </c>
      <c r="E52" s="3">
        <v>45922</v>
      </c>
      <c r="F52" s="3">
        <v>45922</v>
      </c>
      <c r="G52" s="3">
        <v>45943</v>
      </c>
      <c r="H52" s="3">
        <v>45943</v>
      </c>
      <c r="I52" s="2">
        <v>21</v>
      </c>
      <c r="J52" s="4">
        <v>0</v>
      </c>
      <c r="K52" s="5" t="s">
        <v>191</v>
      </c>
      <c r="L52" s="5" t="s">
        <v>17</v>
      </c>
    </row>
    <row r="53" spans="1:12" ht="58" x14ac:dyDescent="0.35">
      <c r="A53" s="1" t="s">
        <v>192</v>
      </c>
      <c r="B53" s="2" t="s">
        <v>193</v>
      </c>
      <c r="C53" s="2" t="s">
        <v>25</v>
      </c>
      <c r="D53" s="2" t="s">
        <v>21</v>
      </c>
      <c r="E53" s="3">
        <v>45922</v>
      </c>
      <c r="F53" s="3">
        <v>46045</v>
      </c>
      <c r="G53" s="3">
        <v>46049</v>
      </c>
      <c r="H53" s="3">
        <v>46049</v>
      </c>
      <c r="I53" s="2">
        <v>127</v>
      </c>
      <c r="J53" s="4">
        <v>0</v>
      </c>
      <c r="K53" s="5" t="s">
        <v>194</v>
      </c>
      <c r="L53" s="5" t="s">
        <v>35</v>
      </c>
    </row>
    <row r="54" spans="1:12" ht="29" x14ac:dyDescent="0.35">
      <c r="A54" s="1" t="s">
        <v>195</v>
      </c>
      <c r="B54" s="2" t="s">
        <v>196</v>
      </c>
      <c r="C54" s="2" t="s">
        <v>33</v>
      </c>
      <c r="D54" s="2" t="s">
        <v>15</v>
      </c>
      <c r="E54" s="3">
        <v>45910</v>
      </c>
      <c r="F54" s="3">
        <v>45925</v>
      </c>
      <c r="G54" s="3">
        <v>45917</v>
      </c>
      <c r="H54" s="3">
        <v>45929</v>
      </c>
      <c r="I54" s="2">
        <v>7</v>
      </c>
      <c r="J54" s="4">
        <v>12</v>
      </c>
      <c r="K54" s="5" t="s">
        <v>197</v>
      </c>
      <c r="L54" s="5" t="s">
        <v>198</v>
      </c>
    </row>
    <row r="55" spans="1:12" ht="58" x14ac:dyDescent="0.35">
      <c r="A55" s="1" t="s">
        <v>199</v>
      </c>
      <c r="B55" s="2" t="s">
        <v>200</v>
      </c>
      <c r="C55" s="2" t="s">
        <v>33</v>
      </c>
      <c r="D55" s="2" t="s">
        <v>15</v>
      </c>
      <c r="E55" s="3">
        <v>45908</v>
      </c>
      <c r="F55" s="3">
        <v>45989</v>
      </c>
      <c r="G55" s="3">
        <v>45993</v>
      </c>
      <c r="H55" s="3">
        <v>45993</v>
      </c>
      <c r="I55" s="2">
        <v>85</v>
      </c>
      <c r="J55" s="4">
        <v>0</v>
      </c>
      <c r="K55" s="5" t="s">
        <v>194</v>
      </c>
      <c r="L55" s="5" t="s">
        <v>35</v>
      </c>
    </row>
    <row r="56" spans="1:12" ht="58" x14ac:dyDescent="0.35">
      <c r="A56" s="1" t="s">
        <v>201</v>
      </c>
      <c r="B56" s="2" t="s">
        <v>202</v>
      </c>
      <c r="C56" s="2" t="s">
        <v>25</v>
      </c>
      <c r="D56" s="2" t="s">
        <v>15</v>
      </c>
      <c r="E56" s="3">
        <v>45908</v>
      </c>
      <c r="F56" s="3">
        <v>45917</v>
      </c>
      <c r="G56" s="3">
        <v>45924</v>
      </c>
      <c r="H56" s="3">
        <v>45924</v>
      </c>
      <c r="I56" s="2">
        <v>16</v>
      </c>
      <c r="J56" s="4">
        <v>0</v>
      </c>
      <c r="K56" s="5" t="s">
        <v>203</v>
      </c>
      <c r="L56" s="5" t="s">
        <v>204</v>
      </c>
    </row>
    <row r="57" spans="1:12" ht="261" x14ac:dyDescent="0.35">
      <c r="A57" s="1" t="s">
        <v>205</v>
      </c>
      <c r="B57" s="2" t="s">
        <v>206</v>
      </c>
      <c r="C57" s="2" t="s">
        <v>20</v>
      </c>
      <c r="D57" s="2" t="s">
        <v>15</v>
      </c>
      <c r="E57" s="3">
        <v>45905</v>
      </c>
      <c r="F57" s="3">
        <v>46122</v>
      </c>
      <c r="G57" s="3">
        <v>45961</v>
      </c>
      <c r="H57" s="3">
        <v>45961</v>
      </c>
      <c r="I57" s="2">
        <v>56</v>
      </c>
      <c r="J57" s="4">
        <v>0</v>
      </c>
      <c r="K57" s="5" t="s">
        <v>207</v>
      </c>
      <c r="L57" s="5" t="s">
        <v>208</v>
      </c>
    </row>
    <row r="58" spans="1:12" ht="29" x14ac:dyDescent="0.35">
      <c r="A58" s="1" t="s">
        <v>209</v>
      </c>
      <c r="B58" s="2" t="s">
        <v>210</v>
      </c>
      <c r="C58" s="2" t="s">
        <v>187</v>
      </c>
      <c r="D58" s="2" t="s">
        <v>15</v>
      </c>
      <c r="E58" s="3">
        <v>45903</v>
      </c>
      <c r="F58" s="3">
        <v>45919</v>
      </c>
      <c r="G58" s="3">
        <v>45947</v>
      </c>
      <c r="H58" s="3">
        <v>45947</v>
      </c>
      <c r="I58" s="2">
        <v>44</v>
      </c>
      <c r="J58" s="4">
        <v>0</v>
      </c>
      <c r="K58" s="5" t="s">
        <v>211</v>
      </c>
      <c r="L58" s="5" t="s">
        <v>35</v>
      </c>
    </row>
    <row r="59" spans="1:12" ht="29" x14ac:dyDescent="0.35">
      <c r="A59" s="1" t="s">
        <v>212</v>
      </c>
      <c r="B59" s="2" t="s">
        <v>213</v>
      </c>
      <c r="C59" s="2" t="s">
        <v>20</v>
      </c>
      <c r="D59" s="2" t="s">
        <v>21</v>
      </c>
      <c r="E59" s="3">
        <v>45903</v>
      </c>
      <c r="F59" s="3">
        <v>45903</v>
      </c>
      <c r="G59" s="3">
        <v>45981</v>
      </c>
      <c r="H59" s="3">
        <v>45981</v>
      </c>
      <c r="I59" s="2">
        <v>78</v>
      </c>
      <c r="J59" s="4">
        <v>0</v>
      </c>
      <c r="K59" s="5" t="s">
        <v>58</v>
      </c>
      <c r="L59" s="5" t="s">
        <v>17</v>
      </c>
    </row>
    <row r="60" spans="1:12" ht="29" x14ac:dyDescent="0.35">
      <c r="A60" s="1" t="s">
        <v>214</v>
      </c>
      <c r="B60" s="2" t="s">
        <v>215</v>
      </c>
      <c r="C60" s="2" t="s">
        <v>25</v>
      </c>
      <c r="D60" s="2" t="s">
        <v>15</v>
      </c>
      <c r="E60" s="3">
        <v>45898</v>
      </c>
      <c r="F60" s="3">
        <v>45898</v>
      </c>
      <c r="G60" s="3">
        <v>45904</v>
      </c>
      <c r="H60" s="3">
        <v>45904</v>
      </c>
      <c r="I60" s="2">
        <v>6</v>
      </c>
      <c r="J60" s="4">
        <v>0</v>
      </c>
      <c r="K60" s="5" t="s">
        <v>22</v>
      </c>
      <c r="L60" s="5" t="s">
        <v>17</v>
      </c>
    </row>
    <row r="61" spans="1:12" ht="87" x14ac:dyDescent="0.35">
      <c r="A61" s="1" t="s">
        <v>216</v>
      </c>
      <c r="B61" s="2" t="s">
        <v>217</v>
      </c>
      <c r="C61" s="2" t="s">
        <v>20</v>
      </c>
      <c r="D61" s="2" t="s">
        <v>21</v>
      </c>
      <c r="E61" s="3">
        <v>45901</v>
      </c>
      <c r="F61" s="3">
        <v>46043</v>
      </c>
      <c r="G61" s="3">
        <v>46079</v>
      </c>
      <c r="H61" s="3">
        <v>46079</v>
      </c>
      <c r="I61" s="2">
        <v>178</v>
      </c>
      <c r="J61" s="4">
        <v>0</v>
      </c>
      <c r="K61" s="5" t="s">
        <v>218</v>
      </c>
      <c r="L61" s="5" t="s">
        <v>219</v>
      </c>
    </row>
    <row r="62" spans="1:12" ht="116" x14ac:dyDescent="0.35">
      <c r="A62" s="1" t="s">
        <v>220</v>
      </c>
      <c r="B62" s="2" t="s">
        <v>221</v>
      </c>
      <c r="C62" s="2" t="s">
        <v>38</v>
      </c>
      <c r="D62" s="2" t="s">
        <v>15</v>
      </c>
      <c r="E62" s="3">
        <v>45897</v>
      </c>
      <c r="F62" s="3">
        <v>45974</v>
      </c>
      <c r="G62" s="3">
        <v>45916</v>
      </c>
      <c r="H62" s="3">
        <v>45979</v>
      </c>
      <c r="I62" s="2">
        <v>19</v>
      </c>
      <c r="J62" s="4">
        <v>63</v>
      </c>
      <c r="K62" s="5" t="s">
        <v>222</v>
      </c>
      <c r="L62" s="5" t="s">
        <v>223</v>
      </c>
    </row>
    <row r="63" spans="1:12" ht="217.5" x14ac:dyDescent="0.35">
      <c r="A63" s="1" t="s">
        <v>224</v>
      </c>
      <c r="B63" s="2" t="s">
        <v>225</v>
      </c>
      <c r="C63" s="2" t="s">
        <v>151</v>
      </c>
      <c r="D63" s="2" t="s">
        <v>15</v>
      </c>
      <c r="E63" s="3">
        <v>45896</v>
      </c>
      <c r="F63" s="3">
        <v>45957</v>
      </c>
      <c r="G63" s="3">
        <v>45931</v>
      </c>
      <c r="H63" s="3">
        <v>45961</v>
      </c>
      <c r="I63" s="2">
        <v>35</v>
      </c>
      <c r="J63" s="4">
        <v>30</v>
      </c>
      <c r="K63" s="5" t="s">
        <v>226</v>
      </c>
      <c r="L63" s="5" t="s">
        <v>35</v>
      </c>
    </row>
    <row r="64" spans="1:12" ht="116" x14ac:dyDescent="0.35">
      <c r="A64" s="1" t="s">
        <v>227</v>
      </c>
      <c r="B64" s="2" t="s">
        <v>228</v>
      </c>
      <c r="C64" s="2" t="s">
        <v>33</v>
      </c>
      <c r="D64" s="2" t="s">
        <v>21</v>
      </c>
      <c r="E64" s="3">
        <v>45890</v>
      </c>
      <c r="F64" s="3">
        <v>46084</v>
      </c>
      <c r="G64" s="3">
        <v>46078</v>
      </c>
      <c r="H64" s="3">
        <v>46086</v>
      </c>
      <c r="I64" s="2">
        <v>188</v>
      </c>
      <c r="J64" s="4">
        <v>8</v>
      </c>
      <c r="K64" s="5" t="s">
        <v>229</v>
      </c>
      <c r="L64" s="5" t="s">
        <v>230</v>
      </c>
    </row>
    <row r="65" spans="1:12" ht="29" x14ac:dyDescent="0.35">
      <c r="A65" s="1" t="s">
        <v>231</v>
      </c>
      <c r="B65" s="2" t="s">
        <v>232</v>
      </c>
      <c r="C65" s="2" t="s">
        <v>20</v>
      </c>
      <c r="D65" s="2" t="s">
        <v>21</v>
      </c>
      <c r="E65" s="3">
        <v>45889</v>
      </c>
      <c r="F65" s="3">
        <v>45889</v>
      </c>
      <c r="G65" s="3">
        <v>45904</v>
      </c>
      <c r="H65" s="3">
        <v>45904</v>
      </c>
      <c r="I65" s="2">
        <v>15</v>
      </c>
      <c r="J65" s="4">
        <v>0</v>
      </c>
      <c r="K65" s="5" t="s">
        <v>58</v>
      </c>
      <c r="L65" s="5" t="s">
        <v>17</v>
      </c>
    </row>
    <row r="66" spans="1:12" ht="174" x14ac:dyDescent="0.35">
      <c r="A66" s="1" t="s">
        <v>233</v>
      </c>
      <c r="B66" s="2" t="s">
        <v>234</v>
      </c>
      <c r="C66" s="2" t="s">
        <v>20</v>
      </c>
      <c r="D66" s="2" t="s">
        <v>21</v>
      </c>
      <c r="E66" s="3">
        <v>45882</v>
      </c>
      <c r="F66" s="3">
        <v>46122</v>
      </c>
      <c r="G66" s="3">
        <v>46112</v>
      </c>
      <c r="H66" s="3">
        <v>46129</v>
      </c>
      <c r="I66" s="2">
        <v>230</v>
      </c>
      <c r="J66" s="4">
        <v>17</v>
      </c>
      <c r="K66" s="5" t="s">
        <v>235</v>
      </c>
      <c r="L66" s="5" t="s">
        <v>236</v>
      </c>
    </row>
    <row r="67" spans="1:12" ht="29" x14ac:dyDescent="0.35">
      <c r="A67" s="1" t="s">
        <v>237</v>
      </c>
      <c r="B67" s="2" t="s">
        <v>238</v>
      </c>
      <c r="C67" s="2" t="s">
        <v>33</v>
      </c>
      <c r="D67" s="2" t="s">
        <v>15</v>
      </c>
      <c r="E67" s="3">
        <v>45882</v>
      </c>
      <c r="F67" s="3">
        <v>45882</v>
      </c>
      <c r="G67" s="3">
        <v>45898</v>
      </c>
      <c r="H67" s="3">
        <v>45898</v>
      </c>
      <c r="I67" s="2">
        <v>16</v>
      </c>
      <c r="J67" s="4">
        <v>0</v>
      </c>
      <c r="K67" s="5" t="s">
        <v>239</v>
      </c>
      <c r="L67" s="5" t="s">
        <v>35</v>
      </c>
    </row>
    <row r="68" spans="1:12" ht="58" x14ac:dyDescent="0.35">
      <c r="A68" s="1" t="s">
        <v>240</v>
      </c>
      <c r="B68" s="2" t="s">
        <v>241</v>
      </c>
      <c r="C68" s="2" t="s">
        <v>38</v>
      </c>
      <c r="D68" s="2" t="s">
        <v>21</v>
      </c>
      <c r="E68" s="3">
        <v>45882</v>
      </c>
      <c r="F68" s="3">
        <v>45940</v>
      </c>
      <c r="G68" s="3">
        <v>45922</v>
      </c>
      <c r="H68" s="3">
        <v>45945</v>
      </c>
      <c r="I68" s="2">
        <v>40</v>
      </c>
      <c r="J68" s="4">
        <v>23</v>
      </c>
      <c r="K68" s="5" t="s">
        <v>242</v>
      </c>
      <c r="L68" s="5" t="s">
        <v>243</v>
      </c>
    </row>
    <row r="69" spans="1:12" ht="43.5" x14ac:dyDescent="0.35">
      <c r="A69" s="1" t="s">
        <v>244</v>
      </c>
      <c r="B69" s="2" t="s">
        <v>245</v>
      </c>
      <c r="C69" s="2" t="s">
        <v>33</v>
      </c>
      <c r="D69" s="2" t="s">
        <v>15</v>
      </c>
      <c r="E69" s="3">
        <v>45880</v>
      </c>
      <c r="F69" s="3">
        <v>45882</v>
      </c>
      <c r="G69" s="3">
        <v>45943</v>
      </c>
      <c r="H69" s="3">
        <v>45943</v>
      </c>
      <c r="I69" s="2">
        <v>63</v>
      </c>
      <c r="J69" s="4">
        <v>0</v>
      </c>
      <c r="K69" s="5" t="s">
        <v>246</v>
      </c>
      <c r="L69" s="5" t="s">
        <v>247</v>
      </c>
    </row>
    <row r="70" spans="1:12" ht="116" x14ac:dyDescent="0.35">
      <c r="A70" s="1" t="s">
        <v>248</v>
      </c>
      <c r="B70" s="2" t="s">
        <v>249</v>
      </c>
      <c r="C70" s="2" t="s">
        <v>20</v>
      </c>
      <c r="D70" s="2" t="s">
        <v>15</v>
      </c>
      <c r="E70" s="3">
        <v>45881</v>
      </c>
      <c r="F70" s="3">
        <v>46006</v>
      </c>
      <c r="G70" s="3">
        <v>45995</v>
      </c>
      <c r="H70" s="3">
        <v>46010</v>
      </c>
      <c r="I70" s="2">
        <v>114</v>
      </c>
      <c r="J70" s="4">
        <v>15</v>
      </c>
      <c r="K70" s="5" t="s">
        <v>250</v>
      </c>
      <c r="L70" s="5" t="s">
        <v>108</v>
      </c>
    </row>
    <row r="71" spans="1:12" ht="409.5" x14ac:dyDescent="0.35">
      <c r="A71" s="1" t="s">
        <v>251</v>
      </c>
      <c r="B71" s="2" t="s">
        <v>252</v>
      </c>
      <c r="C71" s="2" t="s">
        <v>137</v>
      </c>
      <c r="D71" s="2" t="s">
        <v>21</v>
      </c>
      <c r="E71" s="3">
        <v>45877</v>
      </c>
      <c r="F71" s="3">
        <v>46133</v>
      </c>
      <c r="G71" s="3">
        <v>45974</v>
      </c>
      <c r="H71" s="3">
        <v>46065</v>
      </c>
      <c r="I71" s="2">
        <v>97</v>
      </c>
      <c r="J71" s="4">
        <v>91</v>
      </c>
      <c r="K71" s="5" t="s">
        <v>253</v>
      </c>
      <c r="L71" s="5" t="s">
        <v>254</v>
      </c>
    </row>
    <row r="72" spans="1:12" x14ac:dyDescent="0.35">
      <c r="A72" s="1" t="s">
        <v>255</v>
      </c>
      <c r="B72" s="2" t="s">
        <v>256</v>
      </c>
      <c r="C72" s="2" t="s">
        <v>33</v>
      </c>
      <c r="D72" s="2" t="s">
        <v>15</v>
      </c>
      <c r="E72" s="3">
        <v>45876</v>
      </c>
      <c r="F72" s="3">
        <v>45876</v>
      </c>
      <c r="G72" s="3">
        <v>45898</v>
      </c>
      <c r="H72" s="3">
        <v>45898</v>
      </c>
      <c r="I72" s="2">
        <v>22</v>
      </c>
      <c r="J72" s="4">
        <v>0</v>
      </c>
      <c r="K72" s="5" t="s">
        <v>191</v>
      </c>
      <c r="L72" s="5" t="s">
        <v>17</v>
      </c>
    </row>
    <row r="73" spans="1:12" x14ac:dyDescent="0.35">
      <c r="A73" s="1" t="s">
        <v>257</v>
      </c>
      <c r="B73" s="2" t="s">
        <v>258</v>
      </c>
      <c r="C73" s="2" t="s">
        <v>151</v>
      </c>
      <c r="D73" s="2" t="s">
        <v>15</v>
      </c>
      <c r="E73" s="3">
        <v>45874</v>
      </c>
      <c r="F73" s="3">
        <v>45874</v>
      </c>
      <c r="G73" s="3">
        <v>45891</v>
      </c>
      <c r="H73" s="3">
        <v>45891</v>
      </c>
      <c r="I73" s="2">
        <v>17</v>
      </c>
      <c r="J73" s="4">
        <v>0</v>
      </c>
      <c r="K73" s="5" t="s">
        <v>259</v>
      </c>
      <c r="L73" s="5" t="s">
        <v>17</v>
      </c>
    </row>
    <row r="74" spans="1:12" ht="72.5" x14ac:dyDescent="0.35">
      <c r="A74" s="1" t="s">
        <v>260</v>
      </c>
      <c r="B74" s="2" t="s">
        <v>261</v>
      </c>
      <c r="C74" s="2" t="s">
        <v>151</v>
      </c>
      <c r="D74" s="2" t="s">
        <v>21</v>
      </c>
      <c r="E74" s="3">
        <v>45873</v>
      </c>
      <c r="F74" s="3">
        <v>45876</v>
      </c>
      <c r="G74" s="3">
        <v>45962</v>
      </c>
      <c r="H74" s="3">
        <v>45962</v>
      </c>
      <c r="I74" s="2">
        <v>89</v>
      </c>
      <c r="J74" s="4">
        <v>0</v>
      </c>
      <c r="K74" s="5" t="s">
        <v>111</v>
      </c>
      <c r="L74" s="5" t="s">
        <v>112</v>
      </c>
    </row>
    <row r="75" spans="1:12" ht="87" x14ac:dyDescent="0.35">
      <c r="A75" s="1" t="s">
        <v>262</v>
      </c>
      <c r="B75" s="2" t="s">
        <v>263</v>
      </c>
      <c r="C75" s="2" t="s">
        <v>14</v>
      </c>
      <c r="D75" s="2" t="s">
        <v>15</v>
      </c>
      <c r="E75" s="3">
        <v>45867</v>
      </c>
      <c r="F75" s="3">
        <v>46002</v>
      </c>
      <c r="G75" s="3">
        <v>46035</v>
      </c>
      <c r="H75" s="3">
        <v>46035</v>
      </c>
      <c r="I75" s="2">
        <v>168</v>
      </c>
      <c r="J75" s="4">
        <v>0</v>
      </c>
      <c r="K75" s="5" t="s">
        <v>264</v>
      </c>
      <c r="L75" s="5" t="s">
        <v>265</v>
      </c>
    </row>
    <row r="76" spans="1:12" ht="29" x14ac:dyDescent="0.35">
      <c r="A76" s="1" t="s">
        <v>266</v>
      </c>
      <c r="B76" s="2" t="s">
        <v>267</v>
      </c>
      <c r="C76" s="2" t="s">
        <v>151</v>
      </c>
      <c r="D76" s="2" t="s">
        <v>21</v>
      </c>
      <c r="E76" s="3">
        <v>45867</v>
      </c>
      <c r="F76" s="3">
        <v>45867</v>
      </c>
      <c r="G76" s="3">
        <v>45874</v>
      </c>
      <c r="H76" s="3">
        <v>45874</v>
      </c>
      <c r="I76" s="2">
        <v>7</v>
      </c>
      <c r="J76" s="4">
        <v>0</v>
      </c>
      <c r="K76" s="5" t="s">
        <v>268</v>
      </c>
      <c r="L76" s="5" t="s">
        <v>17</v>
      </c>
    </row>
    <row r="77" spans="1:12" ht="87" x14ac:dyDescent="0.35">
      <c r="A77" s="1" t="s">
        <v>269</v>
      </c>
      <c r="B77" s="2" t="s">
        <v>270</v>
      </c>
      <c r="C77" s="2" t="s">
        <v>151</v>
      </c>
      <c r="D77" s="2" t="s">
        <v>21</v>
      </c>
      <c r="E77" s="3">
        <v>45863</v>
      </c>
      <c r="F77" s="3">
        <v>45980</v>
      </c>
      <c r="G77" s="3">
        <v>46037</v>
      </c>
      <c r="H77" s="3">
        <v>46037</v>
      </c>
      <c r="I77" s="2">
        <v>174</v>
      </c>
      <c r="J77" s="4">
        <v>0</v>
      </c>
      <c r="K77" s="5" t="s">
        <v>271</v>
      </c>
      <c r="L77" s="5" t="s">
        <v>272</v>
      </c>
    </row>
    <row r="78" spans="1:12" ht="43.5" x14ac:dyDescent="0.35">
      <c r="A78" s="1" t="s">
        <v>273</v>
      </c>
      <c r="B78" s="2" t="s">
        <v>274</v>
      </c>
      <c r="C78" s="2" t="s">
        <v>38</v>
      </c>
      <c r="D78" s="2" t="s">
        <v>21</v>
      </c>
      <c r="E78" s="3">
        <v>45863</v>
      </c>
      <c r="F78" s="3">
        <v>45868</v>
      </c>
      <c r="G78" s="3">
        <v>45875</v>
      </c>
      <c r="H78" s="3">
        <v>45875</v>
      </c>
      <c r="I78" s="2">
        <v>12</v>
      </c>
      <c r="J78" s="4">
        <v>0</v>
      </c>
      <c r="K78" s="5" t="s">
        <v>70</v>
      </c>
      <c r="L78" s="5" t="s">
        <v>67</v>
      </c>
    </row>
    <row r="79" spans="1:12" ht="145" x14ac:dyDescent="0.35">
      <c r="A79" s="1" t="s">
        <v>275</v>
      </c>
      <c r="B79" s="2" t="s">
        <v>276</v>
      </c>
      <c r="C79" s="2" t="s">
        <v>20</v>
      </c>
      <c r="D79" s="2" t="s">
        <v>21</v>
      </c>
      <c r="E79" s="3">
        <v>45861</v>
      </c>
      <c r="F79" s="3">
        <v>45887</v>
      </c>
      <c r="G79" s="3">
        <v>45882</v>
      </c>
      <c r="H79" s="3">
        <v>45897</v>
      </c>
      <c r="I79" s="2">
        <v>21</v>
      </c>
      <c r="J79" s="4">
        <v>15</v>
      </c>
      <c r="K79" s="5" t="s">
        <v>277</v>
      </c>
      <c r="L79" s="5" t="s">
        <v>278</v>
      </c>
    </row>
    <row r="80" spans="1:12" ht="58" x14ac:dyDescent="0.35">
      <c r="A80" s="1" t="s">
        <v>279</v>
      </c>
      <c r="B80" s="2" t="s">
        <v>280</v>
      </c>
      <c r="C80" s="2" t="s">
        <v>25</v>
      </c>
      <c r="D80" s="2" t="s">
        <v>15</v>
      </c>
      <c r="E80" s="3">
        <v>45861</v>
      </c>
      <c r="F80" s="3">
        <v>45946</v>
      </c>
      <c r="G80" s="3">
        <v>45890</v>
      </c>
      <c r="H80" s="3">
        <v>45890</v>
      </c>
      <c r="I80" s="2">
        <v>29</v>
      </c>
      <c r="J80" s="4">
        <v>0</v>
      </c>
      <c r="K80" s="5" t="s">
        <v>281</v>
      </c>
      <c r="L80" s="5" t="s">
        <v>108</v>
      </c>
    </row>
    <row r="81" spans="1:12" ht="72.5" x14ac:dyDescent="0.35">
      <c r="A81" s="1" t="s">
        <v>282</v>
      </c>
      <c r="B81" s="2" t="s">
        <v>283</v>
      </c>
      <c r="C81" s="2" t="s">
        <v>284</v>
      </c>
      <c r="D81" s="2" t="s">
        <v>21</v>
      </c>
      <c r="E81" s="3">
        <v>45860</v>
      </c>
      <c r="F81" s="3">
        <v>45877</v>
      </c>
      <c r="G81" s="3">
        <v>45931</v>
      </c>
      <c r="H81" s="3">
        <v>45931</v>
      </c>
      <c r="I81" s="2">
        <v>71</v>
      </c>
      <c r="J81" s="4">
        <v>0</v>
      </c>
      <c r="K81" s="5" t="s">
        <v>111</v>
      </c>
      <c r="L81" s="5" t="s">
        <v>112</v>
      </c>
    </row>
    <row r="82" spans="1:12" ht="87" x14ac:dyDescent="0.35">
      <c r="A82" s="1" t="s">
        <v>285</v>
      </c>
      <c r="B82" s="2" t="s">
        <v>286</v>
      </c>
      <c r="C82" s="2" t="s">
        <v>20</v>
      </c>
      <c r="D82" s="2" t="s">
        <v>21</v>
      </c>
      <c r="E82" s="3">
        <v>45855</v>
      </c>
      <c r="F82" s="3">
        <v>46091</v>
      </c>
      <c r="G82" s="3">
        <v>46100</v>
      </c>
      <c r="H82" s="3">
        <v>46100</v>
      </c>
      <c r="I82" s="2">
        <v>245</v>
      </c>
      <c r="J82" s="4">
        <v>0</v>
      </c>
      <c r="K82" s="5" t="s">
        <v>287</v>
      </c>
      <c r="L82" s="5" t="s">
        <v>219</v>
      </c>
    </row>
    <row r="83" spans="1:12" ht="29" x14ac:dyDescent="0.35">
      <c r="A83" s="1" t="s">
        <v>288</v>
      </c>
      <c r="B83" s="2" t="s">
        <v>289</v>
      </c>
      <c r="C83" s="2" t="s">
        <v>33</v>
      </c>
      <c r="D83" s="2" t="s">
        <v>15</v>
      </c>
      <c r="E83" s="3">
        <v>45854</v>
      </c>
      <c r="F83" s="3">
        <v>45854</v>
      </c>
      <c r="G83" s="3">
        <v>45861</v>
      </c>
      <c r="H83" s="3">
        <v>45861</v>
      </c>
      <c r="I83" s="2">
        <v>7</v>
      </c>
      <c r="J83" s="4">
        <v>0</v>
      </c>
      <c r="K83" s="5" t="s">
        <v>290</v>
      </c>
      <c r="L83" s="5" t="s">
        <v>27</v>
      </c>
    </row>
    <row r="84" spans="1:12" x14ac:dyDescent="0.35">
      <c r="A84" s="1" t="s">
        <v>291</v>
      </c>
      <c r="B84" s="2" t="s">
        <v>292</v>
      </c>
      <c r="C84" s="2" t="s">
        <v>33</v>
      </c>
      <c r="D84" s="2" t="s">
        <v>15</v>
      </c>
      <c r="E84" s="3">
        <v>45854</v>
      </c>
      <c r="F84" s="3">
        <v>45854</v>
      </c>
      <c r="G84" s="3">
        <v>45876</v>
      </c>
      <c r="H84" s="3">
        <v>45876</v>
      </c>
      <c r="I84" s="2">
        <v>22</v>
      </c>
      <c r="J84" s="4">
        <v>0</v>
      </c>
      <c r="K84" s="5" t="s">
        <v>293</v>
      </c>
      <c r="L84" s="5" t="s">
        <v>17</v>
      </c>
    </row>
    <row r="85" spans="1:12" x14ac:dyDescent="0.35">
      <c r="A85" s="1" t="s">
        <v>294</v>
      </c>
      <c r="B85" s="2" t="s">
        <v>295</v>
      </c>
      <c r="C85" s="2" t="s">
        <v>20</v>
      </c>
      <c r="D85" s="2" t="s">
        <v>15</v>
      </c>
      <c r="E85" s="3">
        <v>45853</v>
      </c>
      <c r="F85" s="3">
        <v>45853</v>
      </c>
      <c r="G85" s="3">
        <v>45901</v>
      </c>
      <c r="H85" s="3">
        <v>45901</v>
      </c>
      <c r="I85" s="2">
        <v>48</v>
      </c>
      <c r="J85" s="4">
        <v>0</v>
      </c>
      <c r="K85" s="5" t="s">
        <v>296</v>
      </c>
      <c r="L85" s="5" t="s">
        <v>17</v>
      </c>
    </row>
    <row r="86" spans="1:12" ht="43.5" x14ac:dyDescent="0.35">
      <c r="A86" s="1" t="s">
        <v>297</v>
      </c>
      <c r="B86" s="2" t="s">
        <v>298</v>
      </c>
      <c r="C86" s="2" t="s">
        <v>20</v>
      </c>
      <c r="D86" s="2" t="s">
        <v>21</v>
      </c>
      <c r="E86" s="3">
        <v>45853</v>
      </c>
      <c r="F86" s="3">
        <v>46013</v>
      </c>
      <c r="G86" s="3">
        <v>46045</v>
      </c>
      <c r="H86" s="3">
        <v>46045</v>
      </c>
      <c r="I86" s="2">
        <v>192</v>
      </c>
      <c r="J86" s="4">
        <v>0</v>
      </c>
      <c r="K86" s="5" t="s">
        <v>299</v>
      </c>
      <c r="L86" s="5" t="s">
        <v>67</v>
      </c>
    </row>
    <row r="87" spans="1:12" ht="101.5" x14ac:dyDescent="0.35">
      <c r="A87" s="1" t="s">
        <v>300</v>
      </c>
      <c r="B87" s="2" t="s">
        <v>301</v>
      </c>
      <c r="C87" s="2" t="s">
        <v>20</v>
      </c>
      <c r="D87" s="2" t="s">
        <v>21</v>
      </c>
      <c r="E87" s="3">
        <v>45853</v>
      </c>
      <c r="F87" s="3">
        <v>46009</v>
      </c>
      <c r="G87" s="3">
        <v>45904</v>
      </c>
      <c r="H87" s="3">
        <v>46038</v>
      </c>
      <c r="I87" s="2">
        <v>51</v>
      </c>
      <c r="J87" s="4">
        <v>134</v>
      </c>
      <c r="K87" s="5" t="s">
        <v>302</v>
      </c>
      <c r="L87" s="5" t="s">
        <v>303</v>
      </c>
    </row>
    <row r="88" spans="1:12" ht="130.5" x14ac:dyDescent="0.35">
      <c r="A88" s="1" t="s">
        <v>304</v>
      </c>
      <c r="B88" s="2" t="s">
        <v>305</v>
      </c>
      <c r="C88" s="2" t="s">
        <v>306</v>
      </c>
      <c r="D88" s="2" t="s">
        <v>21</v>
      </c>
      <c r="E88" s="3">
        <v>45852</v>
      </c>
      <c r="F88" s="3">
        <v>45945</v>
      </c>
      <c r="G88" s="3">
        <v>45888</v>
      </c>
      <c r="H88" s="3">
        <v>45953</v>
      </c>
      <c r="I88" s="2">
        <v>36</v>
      </c>
      <c r="J88" s="4">
        <v>65</v>
      </c>
      <c r="K88" s="5" t="s">
        <v>307</v>
      </c>
      <c r="L88" s="5" t="s">
        <v>219</v>
      </c>
    </row>
    <row r="89" spans="1:12" x14ac:dyDescent="0.35">
      <c r="A89" s="1" t="s">
        <v>308</v>
      </c>
      <c r="B89" s="2" t="s">
        <v>309</v>
      </c>
      <c r="C89" s="2" t="s">
        <v>20</v>
      </c>
      <c r="D89" s="2" t="s">
        <v>15</v>
      </c>
      <c r="E89" s="3">
        <v>45852</v>
      </c>
      <c r="F89" s="3">
        <v>45852</v>
      </c>
      <c r="G89" s="3">
        <v>45848</v>
      </c>
      <c r="H89" s="3">
        <v>45848</v>
      </c>
      <c r="I89" s="2">
        <v>-4</v>
      </c>
      <c r="J89" s="4">
        <v>0</v>
      </c>
      <c r="K89" s="5" t="s">
        <v>310</v>
      </c>
      <c r="L89" s="5" t="s">
        <v>17</v>
      </c>
    </row>
    <row r="90" spans="1:12" ht="29" x14ac:dyDescent="0.35">
      <c r="A90" s="1" t="s">
        <v>311</v>
      </c>
      <c r="B90" s="2" t="s">
        <v>312</v>
      </c>
      <c r="C90" s="2" t="s">
        <v>38</v>
      </c>
      <c r="D90" s="2" t="s">
        <v>21</v>
      </c>
      <c r="E90" s="3">
        <v>45841</v>
      </c>
      <c r="F90" s="3">
        <v>45887</v>
      </c>
      <c r="G90" s="3">
        <v>45919</v>
      </c>
      <c r="H90" s="3">
        <v>45919</v>
      </c>
      <c r="I90" s="2">
        <v>78</v>
      </c>
      <c r="J90" s="4">
        <v>0</v>
      </c>
      <c r="K90" s="5" t="s">
        <v>313</v>
      </c>
      <c r="L90" s="5" t="s">
        <v>35</v>
      </c>
    </row>
    <row r="91" spans="1:12" ht="58" x14ac:dyDescent="0.35">
      <c r="A91" s="1" t="s">
        <v>314</v>
      </c>
      <c r="B91" s="2" t="s">
        <v>315</v>
      </c>
      <c r="C91" s="2" t="s">
        <v>33</v>
      </c>
      <c r="D91" s="2" t="s">
        <v>21</v>
      </c>
      <c r="E91" s="3">
        <v>45841</v>
      </c>
      <c r="F91" s="3">
        <v>45881</v>
      </c>
      <c r="G91" s="3">
        <v>45876</v>
      </c>
      <c r="H91" s="3">
        <v>45880</v>
      </c>
      <c r="I91" s="2">
        <v>35</v>
      </c>
      <c r="J91" s="4">
        <v>4</v>
      </c>
      <c r="K91" s="5" t="s">
        <v>107</v>
      </c>
      <c r="L91" s="5" t="s">
        <v>316</v>
      </c>
    </row>
    <row r="92" spans="1:12" ht="159.5" x14ac:dyDescent="0.35">
      <c r="A92" s="1" t="s">
        <v>317</v>
      </c>
      <c r="B92" s="2" t="s">
        <v>318</v>
      </c>
      <c r="C92" s="2" t="s">
        <v>38</v>
      </c>
      <c r="D92" s="2" t="s">
        <v>15</v>
      </c>
      <c r="E92" s="3">
        <v>45841</v>
      </c>
      <c r="F92" s="3">
        <v>46007</v>
      </c>
      <c r="G92" s="3">
        <v>46009</v>
      </c>
      <c r="H92" s="3">
        <v>46009</v>
      </c>
      <c r="I92" s="2">
        <v>168</v>
      </c>
      <c r="J92" s="4">
        <v>0</v>
      </c>
      <c r="K92" s="5" t="s">
        <v>319</v>
      </c>
      <c r="L92" s="5" t="s">
        <v>175</v>
      </c>
    </row>
    <row r="93" spans="1:12" ht="232" x14ac:dyDescent="0.35">
      <c r="A93" s="1" t="s">
        <v>320</v>
      </c>
      <c r="B93" s="2" t="s">
        <v>321</v>
      </c>
      <c r="C93" s="2" t="s">
        <v>33</v>
      </c>
      <c r="D93" s="2" t="s">
        <v>15</v>
      </c>
      <c r="E93" s="3">
        <v>45839</v>
      </c>
      <c r="F93" s="3">
        <v>45944</v>
      </c>
      <c r="G93" s="3">
        <v>45951</v>
      </c>
      <c r="H93" s="3">
        <v>45951</v>
      </c>
      <c r="I93" s="2">
        <v>112</v>
      </c>
      <c r="J93" s="4">
        <v>0</v>
      </c>
      <c r="K93" s="5" t="s">
        <v>322</v>
      </c>
      <c r="L93" s="5" t="s">
        <v>323</v>
      </c>
    </row>
    <row r="94" spans="1:12" ht="87" x14ac:dyDescent="0.35">
      <c r="A94" s="1" t="s">
        <v>324</v>
      </c>
      <c r="B94" s="2" t="s">
        <v>325</v>
      </c>
      <c r="C94" s="2" t="s">
        <v>33</v>
      </c>
      <c r="D94" s="2" t="s">
        <v>15</v>
      </c>
      <c r="E94" s="3">
        <v>45838</v>
      </c>
      <c r="F94" s="3">
        <v>45869</v>
      </c>
      <c r="G94" s="3">
        <v>46002</v>
      </c>
      <c r="H94" s="3">
        <v>46002</v>
      </c>
      <c r="I94" s="2">
        <v>164</v>
      </c>
      <c r="J94" s="4">
        <v>0</v>
      </c>
      <c r="K94" s="5" t="s">
        <v>326</v>
      </c>
      <c r="L94" s="5" t="s">
        <v>35</v>
      </c>
    </row>
    <row r="95" spans="1:12" ht="290" x14ac:dyDescent="0.35">
      <c r="A95" s="1" t="s">
        <v>327</v>
      </c>
      <c r="B95" s="2" t="s">
        <v>328</v>
      </c>
      <c r="C95" s="2" t="s">
        <v>20</v>
      </c>
      <c r="D95" s="2" t="s">
        <v>21</v>
      </c>
      <c r="E95" s="3">
        <v>45835</v>
      </c>
      <c r="F95" s="3">
        <v>46048</v>
      </c>
      <c r="G95" s="3">
        <v>46042</v>
      </c>
      <c r="H95" s="3">
        <v>46126</v>
      </c>
      <c r="I95" s="2">
        <v>207</v>
      </c>
      <c r="J95" s="4">
        <v>84</v>
      </c>
      <c r="K95" s="5" t="s">
        <v>329</v>
      </c>
      <c r="L95" s="5" t="s">
        <v>330</v>
      </c>
    </row>
    <row r="96" spans="1:12" ht="43.5" x14ac:dyDescent="0.35">
      <c r="A96" s="1" t="s">
        <v>331</v>
      </c>
      <c r="B96" s="2" t="s">
        <v>332</v>
      </c>
      <c r="C96" s="2" t="s">
        <v>33</v>
      </c>
      <c r="D96" s="2" t="s">
        <v>21</v>
      </c>
      <c r="E96" s="3">
        <v>45834</v>
      </c>
      <c r="F96" s="3">
        <v>45880</v>
      </c>
      <c r="G96" s="3">
        <v>45897</v>
      </c>
      <c r="H96" s="3">
        <v>45897</v>
      </c>
      <c r="I96" s="2">
        <v>63</v>
      </c>
      <c r="J96" s="4">
        <v>0</v>
      </c>
      <c r="K96" s="5" t="s">
        <v>333</v>
      </c>
      <c r="L96" s="5" t="s">
        <v>316</v>
      </c>
    </row>
    <row r="97" spans="1:12" x14ac:dyDescent="0.35">
      <c r="A97" s="1" t="s">
        <v>334</v>
      </c>
      <c r="B97" s="2" t="s">
        <v>335</v>
      </c>
      <c r="C97" s="2" t="s">
        <v>20</v>
      </c>
      <c r="D97" s="2" t="s">
        <v>21</v>
      </c>
      <c r="E97" s="3">
        <v>45833</v>
      </c>
      <c r="F97" s="3">
        <v>45833</v>
      </c>
      <c r="G97" s="3">
        <v>45862</v>
      </c>
      <c r="H97" s="3">
        <v>45862</v>
      </c>
      <c r="I97" s="2">
        <v>29</v>
      </c>
      <c r="J97" s="4">
        <v>0</v>
      </c>
      <c r="K97" s="5" t="s">
        <v>310</v>
      </c>
      <c r="L97" s="5" t="s">
        <v>17</v>
      </c>
    </row>
    <row r="98" spans="1:12" ht="130.5" x14ac:dyDescent="0.35">
      <c r="A98" s="1" t="s">
        <v>336</v>
      </c>
      <c r="B98" s="2" t="s">
        <v>337</v>
      </c>
      <c r="C98" s="2" t="s">
        <v>38</v>
      </c>
      <c r="D98" s="2" t="s">
        <v>21</v>
      </c>
      <c r="E98" s="3">
        <v>45833</v>
      </c>
      <c r="F98" s="3">
        <v>45971</v>
      </c>
      <c r="G98" s="3">
        <v>45861</v>
      </c>
      <c r="H98" s="3">
        <v>45973</v>
      </c>
      <c r="I98" s="2">
        <v>28</v>
      </c>
      <c r="J98" s="4">
        <v>112</v>
      </c>
      <c r="K98" s="5" t="s">
        <v>338</v>
      </c>
      <c r="L98" s="5" t="s">
        <v>339</v>
      </c>
    </row>
    <row r="99" spans="1:12" x14ac:dyDescent="0.35">
      <c r="A99" s="1" t="s">
        <v>340</v>
      </c>
      <c r="B99" s="2" t="s">
        <v>341</v>
      </c>
      <c r="C99" s="2" t="s">
        <v>14</v>
      </c>
      <c r="D99" s="2" t="s">
        <v>15</v>
      </c>
      <c r="E99" s="3">
        <v>45833</v>
      </c>
      <c r="F99" s="3">
        <v>45833</v>
      </c>
      <c r="G99" s="3">
        <v>45898</v>
      </c>
      <c r="H99" s="3">
        <v>45898</v>
      </c>
      <c r="I99" s="2">
        <v>65</v>
      </c>
      <c r="J99" s="4">
        <v>0</v>
      </c>
      <c r="K99" s="5" t="s">
        <v>310</v>
      </c>
      <c r="L99" s="5" t="s">
        <v>17</v>
      </c>
    </row>
    <row r="100" spans="1:12" ht="43.5" x14ac:dyDescent="0.35">
      <c r="A100" s="1" t="s">
        <v>342</v>
      </c>
      <c r="B100" s="2" t="s">
        <v>343</v>
      </c>
      <c r="C100" s="2" t="s">
        <v>25</v>
      </c>
      <c r="D100" s="2" t="s">
        <v>15</v>
      </c>
      <c r="E100" s="3">
        <v>45832</v>
      </c>
      <c r="F100" s="3">
        <v>45931</v>
      </c>
      <c r="G100" s="3">
        <v>45975</v>
      </c>
      <c r="H100" s="3">
        <v>45975</v>
      </c>
      <c r="I100" s="2">
        <v>143</v>
      </c>
      <c r="J100" s="4">
        <v>0</v>
      </c>
      <c r="K100" s="5" t="s">
        <v>344</v>
      </c>
      <c r="L100" s="5" t="s">
        <v>35</v>
      </c>
    </row>
    <row r="101" spans="1:12" ht="409.5" x14ac:dyDescent="0.35">
      <c r="A101" s="1" t="s">
        <v>345</v>
      </c>
      <c r="B101" s="2" t="s">
        <v>346</v>
      </c>
      <c r="C101" s="2" t="s">
        <v>38</v>
      </c>
      <c r="D101" s="2" t="s">
        <v>21</v>
      </c>
      <c r="E101" s="3">
        <v>45828</v>
      </c>
      <c r="F101" s="3">
        <v>46038</v>
      </c>
      <c r="G101" s="3">
        <v>45937</v>
      </c>
      <c r="H101" s="3">
        <v>45988</v>
      </c>
      <c r="I101" s="2">
        <v>109</v>
      </c>
      <c r="J101" s="4">
        <v>51</v>
      </c>
      <c r="K101" s="5" t="s">
        <v>347</v>
      </c>
      <c r="L101" s="5" t="s">
        <v>348</v>
      </c>
    </row>
    <row r="102" spans="1:12" ht="409.5" x14ac:dyDescent="0.35">
      <c r="A102" s="1" t="s">
        <v>349</v>
      </c>
      <c r="B102" s="2" t="s">
        <v>350</v>
      </c>
      <c r="C102" s="2" t="s">
        <v>20</v>
      </c>
      <c r="D102" s="2" t="s">
        <v>21</v>
      </c>
      <c r="E102" s="3">
        <v>45828</v>
      </c>
      <c r="F102" s="3">
        <v>46085</v>
      </c>
      <c r="G102" s="3">
        <v>45974</v>
      </c>
      <c r="H102" s="3">
        <v>46091</v>
      </c>
      <c r="I102" s="2">
        <v>146</v>
      </c>
      <c r="J102" s="4">
        <v>117</v>
      </c>
      <c r="K102" s="5" t="s">
        <v>351</v>
      </c>
      <c r="L102" s="5" t="s">
        <v>352</v>
      </c>
    </row>
    <row r="103" spans="1:12" ht="43.5" x14ac:dyDescent="0.35">
      <c r="A103" s="1" t="s">
        <v>353</v>
      </c>
      <c r="B103" s="2" t="s">
        <v>354</v>
      </c>
      <c r="C103" s="2" t="s">
        <v>284</v>
      </c>
      <c r="D103" s="2" t="s">
        <v>21</v>
      </c>
      <c r="E103" s="3">
        <v>45827</v>
      </c>
      <c r="F103" s="3">
        <v>45827</v>
      </c>
      <c r="G103" s="3">
        <v>45916</v>
      </c>
      <c r="H103" s="3">
        <v>45916</v>
      </c>
      <c r="I103" s="2">
        <v>89</v>
      </c>
      <c r="J103" s="4">
        <v>0</v>
      </c>
      <c r="K103" s="5" t="s">
        <v>355</v>
      </c>
      <c r="L103" s="5" t="s">
        <v>356</v>
      </c>
    </row>
    <row r="104" spans="1:12" ht="290" x14ac:dyDescent="0.35">
      <c r="A104" s="1" t="s">
        <v>357</v>
      </c>
      <c r="B104" s="2" t="s">
        <v>358</v>
      </c>
      <c r="C104" s="2" t="s">
        <v>20</v>
      </c>
      <c r="D104" s="2" t="s">
        <v>21</v>
      </c>
      <c r="E104" s="3">
        <v>45826</v>
      </c>
      <c r="F104" s="3">
        <v>46071</v>
      </c>
      <c r="G104" s="3">
        <v>46090</v>
      </c>
      <c r="H104" s="3">
        <v>46126</v>
      </c>
      <c r="I104" s="2">
        <v>264</v>
      </c>
      <c r="J104" s="4">
        <v>36</v>
      </c>
      <c r="K104" s="5" t="s">
        <v>359</v>
      </c>
      <c r="L104" s="5" t="s">
        <v>360</v>
      </c>
    </row>
    <row r="105" spans="1:12" ht="29" x14ac:dyDescent="0.35">
      <c r="A105" s="1" t="s">
        <v>361</v>
      </c>
      <c r="B105" s="2" t="s">
        <v>362</v>
      </c>
      <c r="C105" s="2" t="s">
        <v>151</v>
      </c>
      <c r="D105" s="2" t="s">
        <v>21</v>
      </c>
      <c r="E105" s="3">
        <v>45825</v>
      </c>
      <c r="F105" s="3">
        <v>45825</v>
      </c>
      <c r="G105" s="3">
        <v>45917</v>
      </c>
      <c r="H105" s="3">
        <v>45917</v>
      </c>
      <c r="I105" s="2">
        <v>92</v>
      </c>
      <c r="J105" s="4">
        <v>0</v>
      </c>
      <c r="K105" s="5" t="s">
        <v>363</v>
      </c>
      <c r="L105" s="5" t="s">
        <v>46</v>
      </c>
    </row>
    <row r="106" spans="1:12" ht="87" x14ac:dyDescent="0.35">
      <c r="A106" s="1" t="s">
        <v>364</v>
      </c>
      <c r="B106" s="2" t="s">
        <v>365</v>
      </c>
      <c r="C106" s="2" t="s">
        <v>33</v>
      </c>
      <c r="D106" s="2" t="s">
        <v>21</v>
      </c>
      <c r="E106" s="3">
        <v>45825</v>
      </c>
      <c r="F106" s="3">
        <v>45847</v>
      </c>
      <c r="G106" s="3">
        <v>45841</v>
      </c>
      <c r="H106" s="3">
        <v>45841</v>
      </c>
      <c r="I106" s="2">
        <v>16</v>
      </c>
      <c r="J106" s="4">
        <v>0</v>
      </c>
      <c r="K106" s="5" t="s">
        <v>366</v>
      </c>
      <c r="L106" s="5" t="s">
        <v>367</v>
      </c>
    </row>
    <row r="107" spans="1:12" ht="72.5" x14ac:dyDescent="0.35">
      <c r="A107" s="1" t="s">
        <v>368</v>
      </c>
      <c r="B107" s="2" t="s">
        <v>369</v>
      </c>
      <c r="C107" s="2" t="s">
        <v>284</v>
      </c>
      <c r="D107" s="2" t="s">
        <v>21</v>
      </c>
      <c r="E107" s="3">
        <v>45821</v>
      </c>
      <c r="F107" s="3">
        <v>45833</v>
      </c>
      <c r="G107" s="3">
        <v>45870</v>
      </c>
      <c r="H107" s="3">
        <v>45870</v>
      </c>
      <c r="I107" s="2">
        <v>49</v>
      </c>
      <c r="J107" s="4">
        <v>0</v>
      </c>
      <c r="K107" s="5" t="s">
        <v>111</v>
      </c>
      <c r="L107" s="5" t="s">
        <v>112</v>
      </c>
    </row>
    <row r="108" spans="1:12" ht="145" x14ac:dyDescent="0.35">
      <c r="A108" s="1" t="s">
        <v>370</v>
      </c>
      <c r="B108" s="2" t="s">
        <v>371</v>
      </c>
      <c r="C108" s="2" t="s">
        <v>33</v>
      </c>
      <c r="D108" s="2" t="s">
        <v>21</v>
      </c>
      <c r="E108" s="3">
        <v>45819</v>
      </c>
      <c r="F108" s="3">
        <v>45819</v>
      </c>
      <c r="G108" s="3">
        <v>45845</v>
      </c>
      <c r="H108" s="3">
        <v>45845</v>
      </c>
      <c r="I108" s="2">
        <v>26</v>
      </c>
      <c r="J108" s="4">
        <v>0</v>
      </c>
      <c r="K108" s="5" t="s">
        <v>277</v>
      </c>
      <c r="L108" s="5" t="s">
        <v>243</v>
      </c>
    </row>
    <row r="109" spans="1:12" ht="87" x14ac:dyDescent="0.35">
      <c r="A109" s="1" t="s">
        <v>372</v>
      </c>
      <c r="B109" s="2" t="s">
        <v>373</v>
      </c>
      <c r="C109" s="2" t="s">
        <v>33</v>
      </c>
      <c r="D109" s="2" t="s">
        <v>15</v>
      </c>
      <c r="E109" s="3">
        <v>45819</v>
      </c>
      <c r="F109" s="3">
        <v>45874</v>
      </c>
      <c r="G109" s="3">
        <v>45888</v>
      </c>
      <c r="H109" s="3">
        <v>45888</v>
      </c>
      <c r="I109" s="2">
        <v>69</v>
      </c>
      <c r="J109" s="4">
        <v>0</v>
      </c>
      <c r="K109" s="5" t="s">
        <v>218</v>
      </c>
      <c r="L109" s="5" t="s">
        <v>67</v>
      </c>
    </row>
    <row r="110" spans="1:12" ht="43.5" x14ac:dyDescent="0.35">
      <c r="A110" s="1" t="s">
        <v>374</v>
      </c>
      <c r="B110" s="2" t="s">
        <v>375</v>
      </c>
      <c r="C110" s="2" t="s">
        <v>14</v>
      </c>
      <c r="D110" s="2" t="s">
        <v>15</v>
      </c>
      <c r="E110" s="3">
        <v>45818</v>
      </c>
      <c r="F110" s="3">
        <v>45819</v>
      </c>
      <c r="G110" s="3">
        <v>45855</v>
      </c>
      <c r="H110" s="3">
        <v>45855</v>
      </c>
      <c r="I110" s="2">
        <v>37</v>
      </c>
      <c r="J110" s="4">
        <v>0</v>
      </c>
      <c r="K110" s="5" t="s">
        <v>70</v>
      </c>
      <c r="L110" s="5" t="s">
        <v>67</v>
      </c>
    </row>
    <row r="111" spans="1:12" ht="43.5" x14ac:dyDescent="0.35">
      <c r="A111" s="1" t="s">
        <v>376</v>
      </c>
      <c r="B111" s="2" t="s">
        <v>377</v>
      </c>
      <c r="C111" s="2" t="s">
        <v>33</v>
      </c>
      <c r="D111" s="2" t="s">
        <v>15</v>
      </c>
      <c r="E111" s="3">
        <v>45814</v>
      </c>
      <c r="F111" s="3">
        <v>45993</v>
      </c>
      <c r="G111" s="3">
        <v>45972</v>
      </c>
      <c r="H111" s="3">
        <v>46002</v>
      </c>
      <c r="I111" s="2">
        <v>158</v>
      </c>
      <c r="J111" s="4">
        <v>30</v>
      </c>
      <c r="K111" s="5" t="s">
        <v>378</v>
      </c>
      <c r="L111" s="5" t="s">
        <v>35</v>
      </c>
    </row>
    <row r="112" spans="1:12" ht="72.5" x14ac:dyDescent="0.35">
      <c r="A112" s="1" t="s">
        <v>379</v>
      </c>
      <c r="B112" s="2" t="s">
        <v>380</v>
      </c>
      <c r="C112" s="2" t="s">
        <v>38</v>
      </c>
      <c r="D112" s="2" t="s">
        <v>21</v>
      </c>
      <c r="E112" s="3">
        <v>45812</v>
      </c>
      <c r="F112" s="3">
        <v>45891</v>
      </c>
      <c r="G112" s="3">
        <v>45870</v>
      </c>
      <c r="H112" s="3">
        <v>45870</v>
      </c>
      <c r="I112" s="2">
        <v>58</v>
      </c>
      <c r="J112" s="4">
        <v>0</v>
      </c>
      <c r="K112" s="5" t="s">
        <v>111</v>
      </c>
      <c r="L112" s="5" t="s">
        <v>112</v>
      </c>
    </row>
    <row r="113" spans="1:12" x14ac:dyDescent="0.35">
      <c r="A113" s="1" t="s">
        <v>381</v>
      </c>
      <c r="B113" s="2" t="s">
        <v>382</v>
      </c>
      <c r="C113" s="2" t="s">
        <v>25</v>
      </c>
      <c r="D113" s="2" t="s">
        <v>15</v>
      </c>
      <c r="E113" s="3">
        <v>45812</v>
      </c>
      <c r="F113" s="3">
        <v>45812</v>
      </c>
      <c r="G113" s="3">
        <v>45827</v>
      </c>
      <c r="H113" s="3">
        <v>45827</v>
      </c>
      <c r="I113" s="2">
        <v>15</v>
      </c>
      <c r="J113" s="4">
        <v>0</v>
      </c>
      <c r="K113" s="5" t="s">
        <v>383</v>
      </c>
      <c r="L113" s="5" t="s">
        <v>27</v>
      </c>
    </row>
    <row r="114" spans="1:12" ht="159.5" x14ac:dyDescent="0.35">
      <c r="A114" s="1" t="s">
        <v>384</v>
      </c>
      <c r="B114" s="2" t="s">
        <v>385</v>
      </c>
      <c r="C114" s="2" t="s">
        <v>38</v>
      </c>
      <c r="D114" s="2" t="s">
        <v>15</v>
      </c>
      <c r="E114" s="3">
        <v>45807</v>
      </c>
      <c r="F114" s="3">
        <v>45915</v>
      </c>
      <c r="G114" s="3">
        <v>45926</v>
      </c>
      <c r="H114" s="3">
        <v>45926</v>
      </c>
      <c r="I114" s="2">
        <v>119</v>
      </c>
      <c r="J114" s="4">
        <v>0</v>
      </c>
      <c r="K114" s="5" t="s">
        <v>386</v>
      </c>
      <c r="L114" s="5" t="s">
        <v>387</v>
      </c>
    </row>
    <row r="115" spans="1:12" ht="43.5" x14ac:dyDescent="0.35">
      <c r="A115" s="1" t="s">
        <v>388</v>
      </c>
      <c r="B115" s="2" t="s">
        <v>389</v>
      </c>
      <c r="C115" s="2" t="s">
        <v>33</v>
      </c>
      <c r="D115" s="2" t="s">
        <v>15</v>
      </c>
      <c r="E115" s="3">
        <v>45806</v>
      </c>
      <c r="F115" s="3">
        <v>45811</v>
      </c>
      <c r="G115" s="3">
        <v>45831</v>
      </c>
      <c r="H115" s="3">
        <v>45831</v>
      </c>
      <c r="I115" s="2">
        <v>25</v>
      </c>
      <c r="J115" s="4">
        <v>0</v>
      </c>
      <c r="K115" s="5" t="s">
        <v>390</v>
      </c>
      <c r="L115" s="5" t="s">
        <v>35</v>
      </c>
    </row>
    <row r="116" spans="1:12" ht="101.5" x14ac:dyDescent="0.35">
      <c r="A116" s="1" t="s">
        <v>391</v>
      </c>
      <c r="B116" s="2" t="s">
        <v>392</v>
      </c>
      <c r="C116" s="2" t="s">
        <v>20</v>
      </c>
      <c r="D116" s="2" t="s">
        <v>21</v>
      </c>
      <c r="E116" s="3">
        <v>45806</v>
      </c>
      <c r="F116" s="3">
        <v>45841</v>
      </c>
      <c r="G116" s="3">
        <v>45862</v>
      </c>
      <c r="H116" s="3">
        <v>45862</v>
      </c>
      <c r="I116" s="2">
        <v>56</v>
      </c>
      <c r="J116" s="4">
        <v>0</v>
      </c>
      <c r="K116" s="5" t="s">
        <v>218</v>
      </c>
      <c r="L116" s="5" t="s">
        <v>393</v>
      </c>
    </row>
    <row r="117" spans="1:12" ht="101.5" x14ac:dyDescent="0.35">
      <c r="A117" s="1" t="s">
        <v>394</v>
      </c>
      <c r="B117" s="2" t="s">
        <v>395</v>
      </c>
      <c r="C117" s="2" t="s">
        <v>33</v>
      </c>
      <c r="D117" s="2" t="s">
        <v>15</v>
      </c>
      <c r="E117" s="3">
        <v>45800</v>
      </c>
      <c r="F117" s="3">
        <v>45944</v>
      </c>
      <c r="G117" s="3">
        <v>45951</v>
      </c>
      <c r="H117" s="3">
        <v>45951</v>
      </c>
      <c r="I117" s="2">
        <v>151</v>
      </c>
      <c r="J117" s="4">
        <v>0</v>
      </c>
      <c r="K117" s="5" t="s">
        <v>396</v>
      </c>
      <c r="L117" s="5" t="s">
        <v>397</v>
      </c>
    </row>
    <row r="118" spans="1:12" ht="130.5" x14ac:dyDescent="0.35">
      <c r="A118" s="1" t="s">
        <v>398</v>
      </c>
      <c r="B118" s="2" t="s">
        <v>399</v>
      </c>
      <c r="C118" s="2" t="s">
        <v>284</v>
      </c>
      <c r="D118" s="2" t="s">
        <v>15</v>
      </c>
      <c r="E118" s="3">
        <v>45800</v>
      </c>
      <c r="F118" s="3">
        <v>45883</v>
      </c>
      <c r="G118" s="3">
        <v>45901</v>
      </c>
      <c r="H118" s="3">
        <v>45901</v>
      </c>
      <c r="I118" s="2">
        <v>101</v>
      </c>
      <c r="J118" s="4">
        <v>0</v>
      </c>
      <c r="K118" s="5" t="s">
        <v>400</v>
      </c>
      <c r="L118" s="5" t="s">
        <v>401</v>
      </c>
    </row>
    <row r="119" spans="1:12" ht="290" x14ac:dyDescent="0.35">
      <c r="A119" s="1" t="s">
        <v>402</v>
      </c>
      <c r="B119" s="2" t="s">
        <v>403</v>
      </c>
      <c r="C119" s="2" t="s">
        <v>20</v>
      </c>
      <c r="D119" s="2" t="s">
        <v>21</v>
      </c>
      <c r="E119" s="3">
        <v>45797</v>
      </c>
      <c r="F119" s="3">
        <v>45933</v>
      </c>
      <c r="G119" s="3">
        <v>45968</v>
      </c>
      <c r="H119" s="3">
        <v>45968</v>
      </c>
      <c r="I119" s="2">
        <v>171</v>
      </c>
      <c r="J119" s="4">
        <v>0</v>
      </c>
      <c r="K119" s="5" t="s">
        <v>404</v>
      </c>
      <c r="L119" s="5" t="s">
        <v>405</v>
      </c>
    </row>
    <row r="120" spans="1:12" ht="58" x14ac:dyDescent="0.35">
      <c r="A120" s="1" t="s">
        <v>406</v>
      </c>
      <c r="B120" s="2" t="s">
        <v>407</v>
      </c>
      <c r="C120" s="2" t="s">
        <v>38</v>
      </c>
      <c r="D120" s="2" t="s">
        <v>15</v>
      </c>
      <c r="E120" s="3">
        <v>45796</v>
      </c>
      <c r="F120" s="3">
        <v>45856</v>
      </c>
      <c r="G120" s="3">
        <v>45873</v>
      </c>
      <c r="H120" s="3">
        <v>45873</v>
      </c>
      <c r="I120" s="2">
        <v>77</v>
      </c>
      <c r="J120" s="4">
        <v>0</v>
      </c>
      <c r="K120" s="5" t="s">
        <v>408</v>
      </c>
      <c r="L120" s="5" t="s">
        <v>409</v>
      </c>
    </row>
    <row r="121" spans="1:12" ht="43.5" x14ac:dyDescent="0.35">
      <c r="A121" s="1" t="s">
        <v>410</v>
      </c>
      <c r="B121" s="2" t="s">
        <v>411</v>
      </c>
      <c r="C121" s="2" t="s">
        <v>33</v>
      </c>
      <c r="D121" s="2" t="s">
        <v>21</v>
      </c>
      <c r="E121" s="3">
        <v>45793</v>
      </c>
      <c r="F121" s="3">
        <v>45868</v>
      </c>
      <c r="G121" s="3">
        <v>45951</v>
      </c>
      <c r="H121" s="3">
        <v>45951</v>
      </c>
      <c r="I121" s="2">
        <v>158</v>
      </c>
      <c r="J121" s="4">
        <v>0</v>
      </c>
      <c r="K121" s="5" t="s">
        <v>412</v>
      </c>
      <c r="L121" s="5" t="s">
        <v>413</v>
      </c>
    </row>
    <row r="122" spans="1:12" ht="43.5" x14ac:dyDescent="0.35">
      <c r="A122" s="1" t="s">
        <v>414</v>
      </c>
      <c r="B122" s="2" t="s">
        <v>415</v>
      </c>
      <c r="C122" s="2" t="s">
        <v>187</v>
      </c>
      <c r="D122" s="2" t="s">
        <v>15</v>
      </c>
      <c r="E122" s="3">
        <v>45793</v>
      </c>
      <c r="F122" s="3">
        <v>45827</v>
      </c>
      <c r="G122" s="3">
        <v>45842</v>
      </c>
      <c r="H122" s="3">
        <v>45856</v>
      </c>
      <c r="I122" s="2">
        <v>49</v>
      </c>
      <c r="J122" s="4">
        <v>14</v>
      </c>
      <c r="K122" s="5" t="s">
        <v>70</v>
      </c>
      <c r="L122" s="5" t="s">
        <v>67</v>
      </c>
    </row>
    <row r="123" spans="1:12" ht="87" x14ac:dyDescent="0.35">
      <c r="A123" s="1" t="s">
        <v>416</v>
      </c>
      <c r="B123" s="2" t="s">
        <v>417</v>
      </c>
      <c r="C123" s="2" t="s">
        <v>33</v>
      </c>
      <c r="D123" s="2" t="s">
        <v>21</v>
      </c>
      <c r="E123" s="3">
        <v>45793</v>
      </c>
      <c r="F123" s="3">
        <v>45989</v>
      </c>
      <c r="G123" s="3">
        <v>45904</v>
      </c>
      <c r="H123" s="3">
        <v>45904</v>
      </c>
      <c r="I123" s="2">
        <v>111</v>
      </c>
      <c r="J123" s="4">
        <v>0</v>
      </c>
      <c r="K123" s="5" t="s">
        <v>418</v>
      </c>
      <c r="L123" s="5" t="s">
        <v>145</v>
      </c>
    </row>
    <row r="124" spans="1:12" x14ac:dyDescent="0.35">
      <c r="A124" s="1" t="s">
        <v>419</v>
      </c>
      <c r="B124" s="2" t="s">
        <v>420</v>
      </c>
      <c r="C124" s="2" t="s">
        <v>33</v>
      </c>
      <c r="D124" s="2" t="s">
        <v>15</v>
      </c>
      <c r="E124" s="3">
        <v>45790</v>
      </c>
      <c r="F124" s="3">
        <v>45790</v>
      </c>
      <c r="G124" s="3">
        <v>45862</v>
      </c>
      <c r="H124" s="3">
        <v>45862</v>
      </c>
      <c r="I124" s="2">
        <v>72</v>
      </c>
      <c r="J124" s="4">
        <v>0</v>
      </c>
      <c r="K124" s="5" t="s">
        <v>310</v>
      </c>
      <c r="L124" s="5" t="s">
        <v>421</v>
      </c>
    </row>
    <row r="125" spans="1:12" ht="72.5" x14ac:dyDescent="0.35">
      <c r="A125" s="1" t="s">
        <v>422</v>
      </c>
      <c r="B125" s="2" t="s">
        <v>423</v>
      </c>
      <c r="C125" s="2" t="s">
        <v>33</v>
      </c>
      <c r="D125" s="2" t="s">
        <v>15</v>
      </c>
      <c r="E125" s="3">
        <v>45790</v>
      </c>
      <c r="F125" s="3">
        <v>45845</v>
      </c>
      <c r="G125" s="3">
        <v>45861</v>
      </c>
      <c r="H125" s="3">
        <v>45861</v>
      </c>
      <c r="I125" s="2">
        <v>71</v>
      </c>
      <c r="J125" s="4">
        <v>0</v>
      </c>
      <c r="K125" s="5" t="s">
        <v>174</v>
      </c>
      <c r="L125" s="5" t="s">
        <v>175</v>
      </c>
    </row>
    <row r="126" spans="1:12" x14ac:dyDescent="0.35">
      <c r="A126" s="1" t="s">
        <v>424</v>
      </c>
      <c r="B126" s="2" t="s">
        <v>425</v>
      </c>
      <c r="C126" s="2" t="s">
        <v>151</v>
      </c>
      <c r="D126" s="2" t="s">
        <v>15</v>
      </c>
      <c r="E126" s="3">
        <v>45789</v>
      </c>
      <c r="F126" s="3">
        <v>45789</v>
      </c>
      <c r="G126" s="3">
        <v>45817</v>
      </c>
      <c r="H126" s="3">
        <v>45817</v>
      </c>
      <c r="I126" s="2">
        <v>28</v>
      </c>
      <c r="J126" s="4">
        <v>0</v>
      </c>
      <c r="K126" s="5" t="s">
        <v>310</v>
      </c>
      <c r="L126" s="5" t="s">
        <v>17</v>
      </c>
    </row>
    <row r="127" spans="1:12" ht="72.5" x14ac:dyDescent="0.35">
      <c r="A127" s="1" t="s">
        <v>426</v>
      </c>
      <c r="B127" s="2" t="s">
        <v>427</v>
      </c>
      <c r="C127" s="2" t="s">
        <v>20</v>
      </c>
      <c r="D127" s="2" t="s">
        <v>15</v>
      </c>
      <c r="E127" s="3">
        <v>45786</v>
      </c>
      <c r="F127" s="3">
        <v>45804</v>
      </c>
      <c r="G127" s="3">
        <v>45824</v>
      </c>
      <c r="H127" s="3">
        <v>45824</v>
      </c>
      <c r="I127" s="2">
        <v>38</v>
      </c>
      <c r="J127" s="4">
        <v>0</v>
      </c>
      <c r="K127" s="5" t="s">
        <v>428</v>
      </c>
      <c r="L127" s="5" t="s">
        <v>429</v>
      </c>
    </row>
    <row r="128" spans="1:12" ht="58" x14ac:dyDescent="0.35">
      <c r="A128" s="1" t="s">
        <v>430</v>
      </c>
      <c r="B128" s="2" t="s">
        <v>431</v>
      </c>
      <c r="C128" s="2" t="s">
        <v>171</v>
      </c>
      <c r="D128" s="2" t="s">
        <v>21</v>
      </c>
      <c r="E128" s="3">
        <v>45786</v>
      </c>
      <c r="F128" s="3">
        <v>45849</v>
      </c>
      <c r="G128" s="3">
        <v>45831</v>
      </c>
      <c r="H128" s="3">
        <v>45855</v>
      </c>
      <c r="I128" s="2">
        <v>45</v>
      </c>
      <c r="J128" s="4">
        <v>24</v>
      </c>
      <c r="K128" s="5" t="s">
        <v>432</v>
      </c>
      <c r="L128" s="5" t="s">
        <v>35</v>
      </c>
    </row>
    <row r="129" spans="1:12" ht="101.5" x14ac:dyDescent="0.35">
      <c r="A129" s="1" t="s">
        <v>433</v>
      </c>
      <c r="B129" s="2" t="s">
        <v>434</v>
      </c>
      <c r="C129" s="2" t="s">
        <v>20</v>
      </c>
      <c r="D129" s="2" t="s">
        <v>21</v>
      </c>
      <c r="E129" s="3">
        <v>45785</v>
      </c>
      <c r="F129" s="3">
        <v>46121</v>
      </c>
      <c r="G129" s="3">
        <v>46035</v>
      </c>
      <c r="H129" s="3">
        <v>46035</v>
      </c>
      <c r="I129" s="2">
        <v>250</v>
      </c>
      <c r="J129" s="4">
        <v>0</v>
      </c>
      <c r="K129" s="5" t="s">
        <v>435</v>
      </c>
      <c r="L129" s="5" t="s">
        <v>303</v>
      </c>
    </row>
    <row r="130" spans="1:12" ht="43.5" x14ac:dyDescent="0.35">
      <c r="A130" s="1" t="s">
        <v>436</v>
      </c>
      <c r="B130" s="2" t="s">
        <v>437</v>
      </c>
      <c r="C130" s="2" t="s">
        <v>151</v>
      </c>
      <c r="D130" s="2" t="s">
        <v>21</v>
      </c>
      <c r="E130" s="3">
        <v>45784</v>
      </c>
      <c r="F130" s="3">
        <v>45797</v>
      </c>
      <c r="G130" s="3">
        <v>45842</v>
      </c>
      <c r="H130" s="3">
        <v>45842</v>
      </c>
      <c r="I130" s="2">
        <v>58</v>
      </c>
      <c r="J130" s="4">
        <v>0</v>
      </c>
      <c r="K130" s="5" t="s">
        <v>299</v>
      </c>
      <c r="L130" s="5" t="s">
        <v>438</v>
      </c>
    </row>
    <row r="131" spans="1:12" ht="29" x14ac:dyDescent="0.35">
      <c r="A131" s="1" t="s">
        <v>439</v>
      </c>
      <c r="B131" s="2" t="s">
        <v>440</v>
      </c>
      <c r="C131" s="2" t="s">
        <v>38</v>
      </c>
      <c r="D131" s="2" t="s">
        <v>15</v>
      </c>
      <c r="E131" s="3">
        <v>45784</v>
      </c>
      <c r="F131" s="3">
        <v>45784</v>
      </c>
      <c r="G131" s="3">
        <v>45880</v>
      </c>
      <c r="H131" s="3">
        <v>45880</v>
      </c>
      <c r="I131" s="2">
        <v>96</v>
      </c>
      <c r="J131" s="4">
        <v>0</v>
      </c>
      <c r="K131" s="5" t="s">
        <v>441</v>
      </c>
      <c r="L131" s="5" t="s">
        <v>17</v>
      </c>
    </row>
    <row r="132" spans="1:12" ht="29" x14ac:dyDescent="0.35">
      <c r="A132" s="1" t="s">
        <v>442</v>
      </c>
      <c r="B132" s="2" t="s">
        <v>443</v>
      </c>
      <c r="C132" s="2" t="s">
        <v>20</v>
      </c>
      <c r="D132" s="2" t="s">
        <v>15</v>
      </c>
      <c r="E132" s="3">
        <v>45779</v>
      </c>
      <c r="F132" s="3">
        <v>45789</v>
      </c>
      <c r="G132" s="3">
        <v>45923</v>
      </c>
      <c r="H132" s="3">
        <v>45923</v>
      </c>
      <c r="I132" s="2">
        <v>144</v>
      </c>
      <c r="J132" s="4">
        <v>0</v>
      </c>
      <c r="K132" s="5" t="s">
        <v>239</v>
      </c>
      <c r="L132" s="5" t="s">
        <v>35</v>
      </c>
    </row>
    <row r="133" spans="1:12" ht="43.5" x14ac:dyDescent="0.35">
      <c r="A133" s="1" t="s">
        <v>444</v>
      </c>
      <c r="B133" s="2" t="s">
        <v>445</v>
      </c>
      <c r="C133" s="2" t="s">
        <v>20</v>
      </c>
      <c r="D133" s="2" t="s">
        <v>21</v>
      </c>
      <c r="E133" s="3">
        <v>45778</v>
      </c>
      <c r="F133" s="3">
        <v>45778</v>
      </c>
      <c r="G133" s="3">
        <v>45839</v>
      </c>
      <c r="H133" s="3">
        <v>45839</v>
      </c>
      <c r="I133" s="2">
        <v>61</v>
      </c>
      <c r="J133" s="4">
        <v>0</v>
      </c>
      <c r="K133" s="5" t="s">
        <v>446</v>
      </c>
      <c r="L133" s="5" t="s">
        <v>356</v>
      </c>
    </row>
    <row r="134" spans="1:12" ht="87" x14ac:dyDescent="0.35">
      <c r="A134" s="1" t="s">
        <v>447</v>
      </c>
      <c r="B134" s="2" t="s">
        <v>448</v>
      </c>
      <c r="C134" s="2" t="s">
        <v>20</v>
      </c>
      <c r="D134" s="2" t="s">
        <v>15</v>
      </c>
      <c r="E134" s="3">
        <v>45777</v>
      </c>
      <c r="F134" s="3">
        <v>45805</v>
      </c>
      <c r="G134" s="3">
        <v>45832</v>
      </c>
      <c r="H134" s="3">
        <v>45832</v>
      </c>
      <c r="I134" s="2">
        <v>55</v>
      </c>
      <c r="J134" s="4">
        <v>0</v>
      </c>
      <c r="K134" s="5" t="s">
        <v>449</v>
      </c>
      <c r="L134" s="5" t="s">
        <v>67</v>
      </c>
    </row>
    <row r="135" spans="1:12" ht="319" x14ac:dyDescent="0.35">
      <c r="A135" s="1" t="s">
        <v>450</v>
      </c>
      <c r="B135" s="2" t="s">
        <v>451</v>
      </c>
      <c r="C135" s="2" t="s">
        <v>38</v>
      </c>
      <c r="D135" s="2" t="s">
        <v>15</v>
      </c>
      <c r="E135" s="3">
        <v>45777</v>
      </c>
      <c r="F135" s="3">
        <v>45952</v>
      </c>
      <c r="G135" s="3">
        <v>45897</v>
      </c>
      <c r="H135" s="3">
        <v>45958</v>
      </c>
      <c r="I135" s="2">
        <v>120</v>
      </c>
      <c r="J135" s="4">
        <v>61</v>
      </c>
      <c r="K135" s="5" t="s">
        <v>452</v>
      </c>
      <c r="L135" s="5" t="s">
        <v>453</v>
      </c>
    </row>
    <row r="136" spans="1:12" ht="101.5" x14ac:dyDescent="0.35">
      <c r="A136" s="1" t="s">
        <v>454</v>
      </c>
      <c r="B136" s="2" t="s">
        <v>455</v>
      </c>
      <c r="C136" s="2" t="s">
        <v>284</v>
      </c>
      <c r="D136" s="2" t="s">
        <v>21</v>
      </c>
      <c r="E136" s="3">
        <v>45777</v>
      </c>
      <c r="F136" s="3">
        <v>45852</v>
      </c>
      <c r="G136" s="3">
        <v>45870</v>
      </c>
      <c r="H136" s="3">
        <v>45870</v>
      </c>
      <c r="I136" s="2">
        <v>93</v>
      </c>
      <c r="J136" s="4">
        <v>0</v>
      </c>
      <c r="K136" s="5" t="s">
        <v>456</v>
      </c>
      <c r="L136" s="5" t="s">
        <v>71</v>
      </c>
    </row>
    <row r="137" spans="1:12" ht="159.5" x14ac:dyDescent="0.35">
      <c r="A137" s="1" t="s">
        <v>457</v>
      </c>
      <c r="B137" s="2" t="s">
        <v>458</v>
      </c>
      <c r="C137" s="2" t="s">
        <v>20</v>
      </c>
      <c r="D137" s="2" t="s">
        <v>21</v>
      </c>
      <c r="E137" s="3">
        <v>45777</v>
      </c>
      <c r="F137" s="3">
        <v>45834</v>
      </c>
      <c r="G137" s="3">
        <v>45818</v>
      </c>
      <c r="H137" s="3">
        <v>45853</v>
      </c>
      <c r="I137" s="2">
        <v>41</v>
      </c>
      <c r="J137" s="4">
        <v>35</v>
      </c>
      <c r="K137" s="5" t="s">
        <v>459</v>
      </c>
      <c r="L137" s="5" t="s">
        <v>460</v>
      </c>
    </row>
    <row r="138" spans="1:12" ht="159.5" x14ac:dyDescent="0.35">
      <c r="A138" s="1" t="s">
        <v>461</v>
      </c>
      <c r="B138" s="2" t="s">
        <v>462</v>
      </c>
      <c r="C138" s="2" t="s">
        <v>20</v>
      </c>
      <c r="D138" s="2" t="s">
        <v>21</v>
      </c>
      <c r="E138" s="3">
        <v>45772</v>
      </c>
      <c r="F138" s="3">
        <v>45898</v>
      </c>
      <c r="G138" s="3">
        <v>45881</v>
      </c>
      <c r="H138" s="3">
        <v>45883</v>
      </c>
      <c r="I138" s="2">
        <v>109</v>
      </c>
      <c r="J138" s="4">
        <v>2</v>
      </c>
      <c r="K138" s="5" t="s">
        <v>463</v>
      </c>
      <c r="L138" s="5" t="s">
        <v>464</v>
      </c>
    </row>
    <row r="139" spans="1:12" ht="130.5" x14ac:dyDescent="0.35">
      <c r="A139" s="1" t="s">
        <v>465</v>
      </c>
      <c r="B139" s="2" t="s">
        <v>466</v>
      </c>
      <c r="C139" s="2" t="s">
        <v>38</v>
      </c>
      <c r="D139" s="2" t="s">
        <v>21</v>
      </c>
      <c r="E139" s="3">
        <v>45772</v>
      </c>
      <c r="F139" s="3">
        <v>45923</v>
      </c>
      <c r="G139" s="3">
        <v>45870</v>
      </c>
      <c r="H139" s="3">
        <v>45929</v>
      </c>
      <c r="I139" s="2">
        <v>98</v>
      </c>
      <c r="J139" s="4">
        <v>59</v>
      </c>
      <c r="K139" s="5" t="s">
        <v>467</v>
      </c>
      <c r="L139" s="5" t="s">
        <v>468</v>
      </c>
    </row>
    <row r="140" spans="1:12" ht="43.5" x14ac:dyDescent="0.35">
      <c r="A140" s="1" t="s">
        <v>469</v>
      </c>
      <c r="B140" s="2" t="s">
        <v>470</v>
      </c>
      <c r="C140" s="2" t="s">
        <v>20</v>
      </c>
      <c r="D140" s="2" t="s">
        <v>21</v>
      </c>
      <c r="E140" s="3">
        <v>45771</v>
      </c>
      <c r="F140" s="3">
        <v>45775</v>
      </c>
      <c r="G140" s="3">
        <v>45777</v>
      </c>
      <c r="H140" s="3">
        <v>45777</v>
      </c>
      <c r="I140" s="2">
        <v>6</v>
      </c>
      <c r="J140" s="4">
        <v>0</v>
      </c>
      <c r="K140" s="5" t="s">
        <v>471</v>
      </c>
      <c r="L140" s="5" t="s">
        <v>63</v>
      </c>
    </row>
    <row r="141" spans="1:12" ht="43.5" x14ac:dyDescent="0.35">
      <c r="A141" s="1" t="s">
        <v>472</v>
      </c>
      <c r="B141" s="2" t="s">
        <v>473</v>
      </c>
      <c r="C141" s="2" t="s">
        <v>33</v>
      </c>
      <c r="D141" s="2" t="s">
        <v>21</v>
      </c>
      <c r="E141" s="3">
        <v>45769</v>
      </c>
      <c r="F141" s="3">
        <v>45769</v>
      </c>
      <c r="G141" s="3">
        <v>45786</v>
      </c>
      <c r="H141" s="3">
        <v>45786</v>
      </c>
      <c r="I141" s="2">
        <v>17</v>
      </c>
      <c r="J141" s="4">
        <v>0</v>
      </c>
      <c r="K141" s="5" t="s">
        <v>239</v>
      </c>
      <c r="L141" s="5" t="s">
        <v>316</v>
      </c>
    </row>
    <row r="142" spans="1:12" ht="72.5" x14ac:dyDescent="0.35">
      <c r="A142" s="1" t="s">
        <v>474</v>
      </c>
      <c r="B142" s="2" t="s">
        <v>475</v>
      </c>
      <c r="C142" s="2" t="s">
        <v>171</v>
      </c>
      <c r="D142" s="2" t="s">
        <v>21</v>
      </c>
      <c r="E142" s="3">
        <v>45761</v>
      </c>
      <c r="F142" s="3">
        <v>46030</v>
      </c>
      <c r="G142" s="3">
        <v>46062</v>
      </c>
      <c r="H142" s="3">
        <v>46062</v>
      </c>
      <c r="I142" s="2">
        <v>301</v>
      </c>
      <c r="J142" s="4">
        <v>0</v>
      </c>
      <c r="K142" s="5" t="s">
        <v>476</v>
      </c>
      <c r="L142" s="5" t="s">
        <v>175</v>
      </c>
    </row>
    <row r="143" spans="1:12" ht="87" x14ac:dyDescent="0.35">
      <c r="A143" s="1" t="s">
        <v>477</v>
      </c>
      <c r="B143" s="2" t="s">
        <v>478</v>
      </c>
      <c r="C143" s="2" t="s">
        <v>20</v>
      </c>
      <c r="D143" s="2" t="s">
        <v>21</v>
      </c>
      <c r="E143" s="3">
        <v>45761</v>
      </c>
      <c r="F143" s="3">
        <v>45881</v>
      </c>
      <c r="G143" s="3">
        <v>45884</v>
      </c>
      <c r="H143" s="3">
        <v>45937</v>
      </c>
      <c r="I143" s="2">
        <v>123</v>
      </c>
      <c r="J143" s="4">
        <v>53</v>
      </c>
      <c r="K143" s="5" t="s">
        <v>479</v>
      </c>
      <c r="L143" s="5" t="s">
        <v>480</v>
      </c>
    </row>
    <row r="144" spans="1:12" ht="217.5" x14ac:dyDescent="0.35">
      <c r="A144" s="1" t="s">
        <v>481</v>
      </c>
      <c r="B144" s="2" t="s">
        <v>482</v>
      </c>
      <c r="C144" s="2" t="s">
        <v>25</v>
      </c>
      <c r="D144" s="2" t="s">
        <v>21</v>
      </c>
      <c r="E144" s="3">
        <v>45758</v>
      </c>
      <c r="F144" s="3">
        <v>45995</v>
      </c>
      <c r="G144" s="3">
        <v>45903</v>
      </c>
      <c r="H144" s="3">
        <v>46002</v>
      </c>
      <c r="I144" s="2">
        <v>145</v>
      </c>
      <c r="J144" s="4">
        <v>99</v>
      </c>
      <c r="K144" s="5" t="s">
        <v>483</v>
      </c>
      <c r="L144" s="5" t="s">
        <v>484</v>
      </c>
    </row>
    <row r="145" spans="1:12" ht="188.5" x14ac:dyDescent="0.35">
      <c r="A145" s="1" t="s">
        <v>485</v>
      </c>
      <c r="B145" s="2" t="s">
        <v>486</v>
      </c>
      <c r="C145" s="2" t="s">
        <v>20</v>
      </c>
      <c r="D145" s="2" t="s">
        <v>21</v>
      </c>
      <c r="E145" s="3">
        <v>45762</v>
      </c>
      <c r="F145" s="3">
        <v>45937</v>
      </c>
      <c r="G145" s="3">
        <v>45962</v>
      </c>
      <c r="H145" s="3">
        <v>46082</v>
      </c>
      <c r="I145" s="2">
        <v>200</v>
      </c>
      <c r="J145" s="4">
        <v>120</v>
      </c>
      <c r="K145" s="5" t="s">
        <v>487</v>
      </c>
      <c r="L145" s="5" t="s">
        <v>488</v>
      </c>
    </row>
    <row r="146" spans="1:12" ht="72.5" x14ac:dyDescent="0.35">
      <c r="A146" s="1" t="s">
        <v>489</v>
      </c>
      <c r="B146" s="2" t="s">
        <v>490</v>
      </c>
      <c r="C146" s="2" t="s">
        <v>33</v>
      </c>
      <c r="D146" s="2" t="s">
        <v>15</v>
      </c>
      <c r="E146" s="3">
        <v>45757</v>
      </c>
      <c r="F146" s="3">
        <v>46064</v>
      </c>
      <c r="G146" s="3">
        <v>46085</v>
      </c>
      <c r="H146" s="3">
        <v>46085</v>
      </c>
      <c r="I146" s="2">
        <v>328</v>
      </c>
      <c r="J146" s="4">
        <v>0</v>
      </c>
      <c r="K146" s="5" t="s">
        <v>174</v>
      </c>
      <c r="L146" s="5" t="s">
        <v>175</v>
      </c>
    </row>
    <row r="147" spans="1:12" ht="101.5" x14ac:dyDescent="0.35">
      <c r="A147" s="1" t="s">
        <v>491</v>
      </c>
      <c r="B147" s="2" t="s">
        <v>492</v>
      </c>
      <c r="C147" s="2" t="s">
        <v>33</v>
      </c>
      <c r="D147" s="2" t="s">
        <v>21</v>
      </c>
      <c r="E147" s="3">
        <v>45757</v>
      </c>
      <c r="F147" s="3">
        <v>45807</v>
      </c>
      <c r="G147" s="3">
        <v>45804</v>
      </c>
      <c r="H147" s="3">
        <v>45804</v>
      </c>
      <c r="I147" s="2">
        <v>47</v>
      </c>
      <c r="J147" s="4">
        <v>0</v>
      </c>
      <c r="K147" s="5" t="s">
        <v>493</v>
      </c>
      <c r="L147" s="5" t="s">
        <v>494</v>
      </c>
    </row>
    <row r="148" spans="1:12" ht="29" x14ac:dyDescent="0.35">
      <c r="A148" s="1" t="s">
        <v>495</v>
      </c>
      <c r="B148" s="2" t="s">
        <v>496</v>
      </c>
      <c r="C148" s="2" t="s">
        <v>38</v>
      </c>
      <c r="D148" s="2" t="s">
        <v>15</v>
      </c>
      <c r="E148" s="3">
        <v>45756</v>
      </c>
      <c r="F148" s="3">
        <v>45824</v>
      </c>
      <c r="G148" s="3">
        <v>45824</v>
      </c>
      <c r="H148" s="3">
        <v>45828</v>
      </c>
      <c r="I148" s="2">
        <v>68</v>
      </c>
      <c r="J148" s="4">
        <v>4</v>
      </c>
      <c r="K148" s="5" t="s">
        <v>497</v>
      </c>
      <c r="L148" s="5" t="s">
        <v>122</v>
      </c>
    </row>
    <row r="149" spans="1:12" ht="29" x14ac:dyDescent="0.35">
      <c r="A149" s="1" t="s">
        <v>498</v>
      </c>
      <c r="B149" s="2" t="s">
        <v>499</v>
      </c>
      <c r="C149" s="2" t="s">
        <v>25</v>
      </c>
      <c r="D149" s="2" t="s">
        <v>15</v>
      </c>
      <c r="E149" s="3">
        <v>45750</v>
      </c>
      <c r="F149" s="3">
        <v>45750</v>
      </c>
      <c r="G149" s="3">
        <v>45792</v>
      </c>
      <c r="H149" s="3">
        <v>45792</v>
      </c>
      <c r="I149" s="2">
        <v>42</v>
      </c>
      <c r="J149" s="4">
        <v>0</v>
      </c>
      <c r="K149" s="5" t="s">
        <v>268</v>
      </c>
      <c r="L149" s="5" t="s">
        <v>421</v>
      </c>
    </row>
    <row r="150" spans="1:12" ht="29" x14ac:dyDescent="0.35">
      <c r="A150" s="1" t="s">
        <v>500</v>
      </c>
      <c r="B150" s="2" t="s">
        <v>501</v>
      </c>
      <c r="C150" s="2" t="s">
        <v>20</v>
      </c>
      <c r="D150" s="2" t="s">
        <v>15</v>
      </c>
      <c r="E150" s="3">
        <v>45748</v>
      </c>
      <c r="F150" s="3">
        <v>45898</v>
      </c>
      <c r="G150" s="3">
        <v>45862</v>
      </c>
      <c r="H150" s="3">
        <v>45908</v>
      </c>
      <c r="I150" s="2">
        <v>114</v>
      </c>
      <c r="J150" s="4">
        <v>46</v>
      </c>
      <c r="K150" s="5" t="s">
        <v>239</v>
      </c>
      <c r="L150" s="5" t="s">
        <v>35</v>
      </c>
    </row>
    <row r="151" spans="1:12" ht="29" x14ac:dyDescent="0.35">
      <c r="A151" s="1" t="s">
        <v>502</v>
      </c>
      <c r="B151" s="2" t="s">
        <v>503</v>
      </c>
      <c r="C151" s="2" t="s">
        <v>20</v>
      </c>
      <c r="D151" s="2" t="s">
        <v>15</v>
      </c>
      <c r="E151" s="3">
        <v>45747</v>
      </c>
      <c r="F151" s="3">
        <v>46056</v>
      </c>
      <c r="G151" s="3">
        <v>45792</v>
      </c>
      <c r="H151" s="3">
        <v>45792</v>
      </c>
      <c r="I151" s="2">
        <v>45</v>
      </c>
      <c r="J151" s="4">
        <v>0</v>
      </c>
      <c r="K151" s="5" t="s">
        <v>504</v>
      </c>
      <c r="L151" s="5" t="s">
        <v>35</v>
      </c>
    </row>
    <row r="152" spans="1:12" ht="58" x14ac:dyDescent="0.35">
      <c r="A152" s="1" t="s">
        <v>505</v>
      </c>
      <c r="B152" s="2" t="s">
        <v>506</v>
      </c>
      <c r="C152" s="2" t="s">
        <v>33</v>
      </c>
      <c r="D152" s="2" t="s">
        <v>15</v>
      </c>
      <c r="E152" s="3">
        <v>45747</v>
      </c>
      <c r="F152" s="3">
        <v>45751</v>
      </c>
      <c r="G152" s="3">
        <v>45771</v>
      </c>
      <c r="H152" s="3">
        <v>45771</v>
      </c>
      <c r="I152" s="2">
        <v>24</v>
      </c>
      <c r="J152" s="4">
        <v>0</v>
      </c>
      <c r="K152" s="5" t="s">
        <v>507</v>
      </c>
      <c r="L152" s="5" t="s">
        <v>508</v>
      </c>
    </row>
    <row r="153" spans="1:12" ht="29" x14ac:dyDescent="0.35">
      <c r="A153" s="1" t="s">
        <v>509</v>
      </c>
      <c r="B153" s="2" t="s">
        <v>510</v>
      </c>
      <c r="C153" s="2" t="s">
        <v>33</v>
      </c>
      <c r="D153" s="2" t="s">
        <v>15</v>
      </c>
      <c r="E153" s="3">
        <v>45736</v>
      </c>
      <c r="F153" s="3">
        <v>45736</v>
      </c>
      <c r="G153" s="3">
        <v>45806</v>
      </c>
      <c r="H153" s="3">
        <v>45806</v>
      </c>
      <c r="I153" s="2">
        <v>70</v>
      </c>
      <c r="J153" s="4">
        <v>0</v>
      </c>
      <c r="K153" s="5" t="s">
        <v>58</v>
      </c>
      <c r="L153" s="5" t="s">
        <v>511</v>
      </c>
    </row>
    <row r="154" spans="1:12" ht="409.5" x14ac:dyDescent="0.35">
      <c r="A154" s="1" t="s">
        <v>512</v>
      </c>
      <c r="B154" s="2" t="s">
        <v>513</v>
      </c>
      <c r="C154" s="2" t="s">
        <v>33</v>
      </c>
      <c r="D154" s="2" t="s">
        <v>21</v>
      </c>
      <c r="E154" s="3">
        <v>45735</v>
      </c>
      <c r="F154" s="3">
        <v>45950</v>
      </c>
      <c r="G154" s="3">
        <v>45981</v>
      </c>
      <c r="H154" s="3">
        <v>46007</v>
      </c>
      <c r="I154" s="2">
        <v>246</v>
      </c>
      <c r="J154" s="4">
        <v>26</v>
      </c>
      <c r="K154" s="5" t="s">
        <v>514</v>
      </c>
      <c r="L154" s="5" t="s">
        <v>515</v>
      </c>
    </row>
    <row r="155" spans="1:12" ht="159.5" x14ac:dyDescent="0.35">
      <c r="A155" s="1" t="s">
        <v>516</v>
      </c>
      <c r="B155" s="2" t="s">
        <v>517</v>
      </c>
      <c r="C155" s="2" t="s">
        <v>33</v>
      </c>
      <c r="D155" s="2" t="s">
        <v>21</v>
      </c>
      <c r="E155" s="3">
        <v>45730</v>
      </c>
      <c r="F155" s="3">
        <v>45740</v>
      </c>
      <c r="G155" s="3">
        <v>45754</v>
      </c>
      <c r="H155" s="3">
        <v>45754</v>
      </c>
      <c r="I155" s="2">
        <v>24</v>
      </c>
      <c r="J155" s="4">
        <v>0</v>
      </c>
      <c r="K155" s="5" t="s">
        <v>518</v>
      </c>
      <c r="L155" s="5" t="s">
        <v>175</v>
      </c>
    </row>
    <row r="156" spans="1:12" ht="377" x14ac:dyDescent="0.35">
      <c r="A156" s="1" t="s">
        <v>519</v>
      </c>
      <c r="B156" s="2" t="s">
        <v>520</v>
      </c>
      <c r="C156" s="2" t="s">
        <v>25</v>
      </c>
      <c r="D156" s="2" t="s">
        <v>21</v>
      </c>
      <c r="E156" s="3">
        <v>45729</v>
      </c>
      <c r="F156" s="3">
        <v>45821</v>
      </c>
      <c r="G156" s="3">
        <v>45764</v>
      </c>
      <c r="H156" s="3">
        <v>45834</v>
      </c>
      <c r="I156" s="2">
        <v>35</v>
      </c>
      <c r="J156" s="4">
        <v>70</v>
      </c>
      <c r="K156" s="5" t="s">
        <v>521</v>
      </c>
      <c r="L156" s="5" t="s">
        <v>522</v>
      </c>
    </row>
    <row r="157" spans="1:12" ht="159.5" x14ac:dyDescent="0.35">
      <c r="A157" s="1" t="s">
        <v>523</v>
      </c>
      <c r="B157" s="2" t="s">
        <v>524</v>
      </c>
      <c r="C157" s="2" t="s">
        <v>14</v>
      </c>
      <c r="D157" s="2" t="s">
        <v>21</v>
      </c>
      <c r="E157" s="3">
        <v>45726</v>
      </c>
      <c r="F157" s="3">
        <v>45922</v>
      </c>
      <c r="G157" s="3">
        <v>45962</v>
      </c>
      <c r="H157" s="3">
        <v>45962</v>
      </c>
      <c r="I157" s="2">
        <v>236</v>
      </c>
      <c r="J157" s="4">
        <v>0</v>
      </c>
      <c r="K157" s="5" t="s">
        <v>525</v>
      </c>
      <c r="L157" s="5" t="s">
        <v>460</v>
      </c>
    </row>
    <row r="158" spans="1:12" ht="145" x14ac:dyDescent="0.35">
      <c r="A158" s="1" t="s">
        <v>526</v>
      </c>
      <c r="B158" s="2" t="s">
        <v>527</v>
      </c>
      <c r="C158" s="2" t="s">
        <v>33</v>
      </c>
      <c r="D158" s="2" t="s">
        <v>21</v>
      </c>
      <c r="E158" s="3">
        <v>45726</v>
      </c>
      <c r="F158" s="3">
        <v>45777</v>
      </c>
      <c r="G158" s="3">
        <v>45798</v>
      </c>
      <c r="H158" s="3">
        <v>45798</v>
      </c>
      <c r="I158" s="2">
        <v>72</v>
      </c>
      <c r="J158" s="4">
        <v>0</v>
      </c>
      <c r="K158" s="5" t="s">
        <v>528</v>
      </c>
      <c r="L158" s="5" t="s">
        <v>175</v>
      </c>
    </row>
    <row r="159" spans="1:12" ht="43.5" x14ac:dyDescent="0.35">
      <c r="A159" s="1" t="s">
        <v>529</v>
      </c>
      <c r="B159" s="2" t="s">
        <v>530</v>
      </c>
      <c r="C159" s="2" t="s">
        <v>20</v>
      </c>
      <c r="D159" s="2" t="s">
        <v>15</v>
      </c>
      <c r="E159" s="3">
        <v>45726</v>
      </c>
      <c r="F159" s="3">
        <v>46029</v>
      </c>
      <c r="G159" s="3">
        <v>45996</v>
      </c>
      <c r="H159" s="3">
        <v>46036</v>
      </c>
      <c r="I159" s="2">
        <v>270</v>
      </c>
      <c r="J159" s="4">
        <v>40</v>
      </c>
      <c r="K159" s="5" t="s">
        <v>70</v>
      </c>
      <c r="L159" s="5" t="s">
        <v>67</v>
      </c>
    </row>
    <row r="160" spans="1:12" ht="43.5" x14ac:dyDescent="0.35">
      <c r="A160" s="1" t="s">
        <v>531</v>
      </c>
      <c r="B160" s="2" t="s">
        <v>532</v>
      </c>
      <c r="C160" s="2" t="s">
        <v>33</v>
      </c>
      <c r="D160" s="2" t="s">
        <v>15</v>
      </c>
      <c r="E160" s="3">
        <v>45723</v>
      </c>
      <c r="F160" s="3">
        <v>45964</v>
      </c>
      <c r="G160" s="3">
        <v>45792</v>
      </c>
      <c r="H160" s="3">
        <v>45792</v>
      </c>
      <c r="I160" s="2">
        <v>69</v>
      </c>
      <c r="J160" s="4">
        <v>0</v>
      </c>
      <c r="K160" s="5" t="s">
        <v>70</v>
      </c>
      <c r="L160" s="5" t="s">
        <v>35</v>
      </c>
    </row>
    <row r="161" spans="1:12" ht="58" x14ac:dyDescent="0.35">
      <c r="A161" s="1" t="s">
        <v>533</v>
      </c>
      <c r="B161" s="2" t="s">
        <v>534</v>
      </c>
      <c r="C161" s="2" t="s">
        <v>20</v>
      </c>
      <c r="D161" s="2" t="s">
        <v>15</v>
      </c>
      <c r="E161" s="3">
        <v>45719</v>
      </c>
      <c r="F161" s="3">
        <v>45735</v>
      </c>
      <c r="G161" s="3">
        <v>45743</v>
      </c>
      <c r="H161" s="3">
        <v>45743</v>
      </c>
      <c r="I161" s="2">
        <v>24</v>
      </c>
      <c r="J161" s="4">
        <v>0</v>
      </c>
      <c r="K161" s="5" t="s">
        <v>535</v>
      </c>
      <c r="L161" s="5" t="s">
        <v>35</v>
      </c>
    </row>
    <row r="162" spans="1:12" ht="246.5" x14ac:dyDescent="0.35">
      <c r="A162" s="1" t="s">
        <v>536</v>
      </c>
      <c r="B162" s="2" t="s">
        <v>537</v>
      </c>
      <c r="C162" s="2" t="s">
        <v>137</v>
      </c>
      <c r="D162" s="2" t="s">
        <v>21</v>
      </c>
      <c r="E162" s="3">
        <v>45719</v>
      </c>
      <c r="F162" s="3">
        <v>45758</v>
      </c>
      <c r="G162" s="3">
        <v>45786</v>
      </c>
      <c r="H162" s="3">
        <v>45786</v>
      </c>
      <c r="I162" s="2">
        <v>67</v>
      </c>
      <c r="J162" s="4">
        <v>0</v>
      </c>
      <c r="K162" s="5" t="s">
        <v>538</v>
      </c>
      <c r="L162" s="5" t="s">
        <v>539</v>
      </c>
    </row>
    <row r="163" spans="1:12" ht="87" x14ac:dyDescent="0.35">
      <c r="A163" s="1" t="s">
        <v>540</v>
      </c>
      <c r="B163" s="2" t="s">
        <v>541</v>
      </c>
      <c r="C163" s="2" t="s">
        <v>33</v>
      </c>
      <c r="D163" s="2" t="s">
        <v>21</v>
      </c>
      <c r="E163" s="3">
        <v>45719</v>
      </c>
      <c r="F163" s="3">
        <v>46099</v>
      </c>
      <c r="G163" s="3">
        <v>46107</v>
      </c>
      <c r="H163" s="3">
        <v>46107</v>
      </c>
      <c r="I163" s="2">
        <v>388</v>
      </c>
      <c r="J163" s="4">
        <v>0</v>
      </c>
      <c r="K163" s="5" t="s">
        <v>218</v>
      </c>
      <c r="L163" s="5" t="s">
        <v>219</v>
      </c>
    </row>
    <row r="164" spans="1:12" ht="261" x14ac:dyDescent="0.35">
      <c r="A164" s="1" t="s">
        <v>542</v>
      </c>
      <c r="B164" s="2" t="s">
        <v>543</v>
      </c>
      <c r="C164" s="2" t="s">
        <v>33</v>
      </c>
      <c r="D164" s="2" t="s">
        <v>21</v>
      </c>
      <c r="E164" s="3">
        <v>45719</v>
      </c>
      <c r="F164" s="3">
        <v>46030</v>
      </c>
      <c r="G164" s="3">
        <v>45986</v>
      </c>
      <c r="H164" s="3">
        <v>46038</v>
      </c>
      <c r="I164" s="2">
        <v>267</v>
      </c>
      <c r="J164" s="4">
        <v>52</v>
      </c>
      <c r="K164" s="5" t="s">
        <v>338</v>
      </c>
      <c r="L164" s="5" t="s">
        <v>544</v>
      </c>
    </row>
    <row r="165" spans="1:12" ht="159.5" x14ac:dyDescent="0.35">
      <c r="A165" s="1" t="s">
        <v>545</v>
      </c>
      <c r="B165" s="2" t="s">
        <v>546</v>
      </c>
      <c r="C165" s="2" t="s">
        <v>14</v>
      </c>
      <c r="D165" s="2" t="s">
        <v>21</v>
      </c>
      <c r="E165" s="3">
        <v>45716</v>
      </c>
      <c r="F165" s="3">
        <v>45986</v>
      </c>
      <c r="G165" s="3">
        <v>45839</v>
      </c>
      <c r="H165" s="3">
        <v>45839</v>
      </c>
      <c r="I165" s="2">
        <v>123</v>
      </c>
      <c r="J165" s="4">
        <v>0</v>
      </c>
      <c r="K165" s="5" t="s">
        <v>525</v>
      </c>
      <c r="L165" s="5" t="s">
        <v>460</v>
      </c>
    </row>
    <row r="166" spans="1:12" ht="72.5" x14ac:dyDescent="0.35">
      <c r="A166" s="1" t="s">
        <v>547</v>
      </c>
      <c r="B166" s="2" t="s">
        <v>548</v>
      </c>
      <c r="C166" s="2" t="s">
        <v>38</v>
      </c>
      <c r="D166" s="2" t="s">
        <v>21</v>
      </c>
      <c r="E166" s="3">
        <v>45715</v>
      </c>
      <c r="F166" s="3">
        <v>45813</v>
      </c>
      <c r="G166" s="3">
        <v>45870</v>
      </c>
      <c r="H166" s="3">
        <v>45870</v>
      </c>
      <c r="I166" s="2">
        <v>155</v>
      </c>
      <c r="J166" s="4">
        <v>0</v>
      </c>
      <c r="K166" s="5" t="s">
        <v>111</v>
      </c>
      <c r="L166" s="5" t="s">
        <v>112</v>
      </c>
    </row>
    <row r="167" spans="1:12" ht="43.5" x14ac:dyDescent="0.35">
      <c r="A167" s="1" t="s">
        <v>549</v>
      </c>
      <c r="B167" s="2" t="s">
        <v>550</v>
      </c>
      <c r="C167" s="2" t="s">
        <v>20</v>
      </c>
      <c r="D167" s="2" t="s">
        <v>21</v>
      </c>
      <c r="E167" s="3">
        <v>45709</v>
      </c>
      <c r="F167" s="3">
        <v>45870</v>
      </c>
      <c r="G167" s="3">
        <v>45895</v>
      </c>
      <c r="H167" s="3">
        <v>45895</v>
      </c>
      <c r="I167" s="2">
        <v>186</v>
      </c>
      <c r="J167" s="4">
        <v>0</v>
      </c>
      <c r="K167" s="5" t="s">
        <v>551</v>
      </c>
      <c r="L167" s="5" t="s">
        <v>35</v>
      </c>
    </row>
    <row r="168" spans="1:12" ht="246.5" x14ac:dyDescent="0.35">
      <c r="A168" s="1" t="s">
        <v>552</v>
      </c>
      <c r="B168" s="2" t="s">
        <v>553</v>
      </c>
      <c r="C168" s="2" t="s">
        <v>20</v>
      </c>
      <c r="D168" s="2" t="s">
        <v>21</v>
      </c>
      <c r="E168" s="3">
        <v>45706</v>
      </c>
      <c r="F168" s="3">
        <v>46091</v>
      </c>
      <c r="G168" s="3">
        <v>46014</v>
      </c>
      <c r="H168" s="3">
        <v>46091</v>
      </c>
      <c r="I168" s="2">
        <v>308</v>
      </c>
      <c r="J168" s="4">
        <v>77</v>
      </c>
      <c r="K168" s="5" t="s">
        <v>554</v>
      </c>
      <c r="L168" s="5" t="s">
        <v>555</v>
      </c>
    </row>
    <row r="169" spans="1:12" ht="290" x14ac:dyDescent="0.35">
      <c r="A169" s="1" t="s">
        <v>556</v>
      </c>
      <c r="B169" s="2" t="s">
        <v>557</v>
      </c>
      <c r="C169" s="2" t="s">
        <v>20</v>
      </c>
      <c r="D169" s="2" t="s">
        <v>15</v>
      </c>
      <c r="E169" s="3">
        <v>45706</v>
      </c>
      <c r="F169" s="3">
        <v>45895</v>
      </c>
      <c r="G169" s="3">
        <v>45775</v>
      </c>
      <c r="H169" s="3">
        <v>45898</v>
      </c>
      <c r="I169" s="2">
        <v>69</v>
      </c>
      <c r="J169" s="4">
        <v>123</v>
      </c>
      <c r="K169" s="5" t="s">
        <v>558</v>
      </c>
      <c r="L169" s="5" t="s">
        <v>559</v>
      </c>
    </row>
    <row r="170" spans="1:12" ht="87" x14ac:dyDescent="0.35">
      <c r="A170" s="1" t="s">
        <v>560</v>
      </c>
      <c r="B170" s="2" t="s">
        <v>561</v>
      </c>
      <c r="C170" s="2" t="s">
        <v>33</v>
      </c>
      <c r="D170" s="2" t="s">
        <v>15</v>
      </c>
      <c r="E170" s="3">
        <v>45705</v>
      </c>
      <c r="F170" s="3">
        <v>45800</v>
      </c>
      <c r="G170" s="3">
        <v>45819</v>
      </c>
      <c r="H170" s="3">
        <v>45819</v>
      </c>
      <c r="I170" s="2">
        <v>114</v>
      </c>
      <c r="J170" s="4">
        <v>0</v>
      </c>
      <c r="K170" s="5" t="s">
        <v>562</v>
      </c>
      <c r="L170" s="5" t="s">
        <v>108</v>
      </c>
    </row>
    <row r="171" spans="1:12" ht="43.5" x14ac:dyDescent="0.35">
      <c r="A171" s="1" t="s">
        <v>563</v>
      </c>
      <c r="B171" s="2" t="s">
        <v>564</v>
      </c>
      <c r="C171" s="2" t="s">
        <v>38</v>
      </c>
      <c r="D171" s="2" t="s">
        <v>15</v>
      </c>
      <c r="E171" s="3">
        <v>45702</v>
      </c>
      <c r="F171" s="3">
        <v>45720</v>
      </c>
      <c r="G171" s="3">
        <v>45756</v>
      </c>
      <c r="H171" s="3">
        <v>45756</v>
      </c>
      <c r="I171" s="2">
        <v>54</v>
      </c>
      <c r="J171" s="4">
        <v>0</v>
      </c>
      <c r="K171" s="5" t="s">
        <v>565</v>
      </c>
      <c r="L171" s="5" t="s">
        <v>566</v>
      </c>
    </row>
    <row r="172" spans="1:12" ht="391.5" x14ac:dyDescent="0.35">
      <c r="A172" s="1" t="s">
        <v>567</v>
      </c>
      <c r="B172" s="2" t="s">
        <v>568</v>
      </c>
      <c r="C172" s="2" t="s">
        <v>20</v>
      </c>
      <c r="D172" s="2" t="s">
        <v>15</v>
      </c>
      <c r="E172" s="3">
        <v>45701</v>
      </c>
      <c r="F172" s="3">
        <v>46121</v>
      </c>
      <c r="G172" s="3">
        <v>46092</v>
      </c>
      <c r="H172" s="3">
        <v>46135</v>
      </c>
      <c r="I172" s="2">
        <v>391</v>
      </c>
      <c r="J172" s="4">
        <v>43</v>
      </c>
      <c r="K172" s="5" t="s">
        <v>569</v>
      </c>
      <c r="L172" s="5" t="s">
        <v>570</v>
      </c>
    </row>
    <row r="173" spans="1:12" ht="58" x14ac:dyDescent="0.35">
      <c r="A173" s="1" t="s">
        <v>571</v>
      </c>
      <c r="B173" s="2" t="s">
        <v>572</v>
      </c>
      <c r="C173" s="2" t="s">
        <v>33</v>
      </c>
      <c r="D173" s="2" t="s">
        <v>15</v>
      </c>
      <c r="E173" s="3">
        <v>45702</v>
      </c>
      <c r="F173" s="3">
        <v>45706</v>
      </c>
      <c r="G173" s="3">
        <v>45720</v>
      </c>
      <c r="H173" s="3">
        <v>45720</v>
      </c>
      <c r="I173" s="2">
        <v>18</v>
      </c>
      <c r="J173" s="4">
        <v>0</v>
      </c>
      <c r="K173" s="5" t="s">
        <v>573</v>
      </c>
      <c r="L173" s="5" t="s">
        <v>35</v>
      </c>
    </row>
    <row r="174" spans="1:12" ht="391.5" x14ac:dyDescent="0.35">
      <c r="A174" s="1" t="s">
        <v>574</v>
      </c>
      <c r="B174" s="2" t="s">
        <v>575</v>
      </c>
      <c r="C174" s="2" t="s">
        <v>33</v>
      </c>
      <c r="D174" s="2" t="s">
        <v>15</v>
      </c>
      <c r="E174" s="3">
        <v>45700</v>
      </c>
      <c r="F174" s="3">
        <v>45957</v>
      </c>
      <c r="G174" s="3">
        <v>45972</v>
      </c>
      <c r="H174" s="3">
        <v>46080</v>
      </c>
      <c r="I174" s="2">
        <v>272</v>
      </c>
      <c r="J174" s="4">
        <v>108</v>
      </c>
      <c r="K174" s="5" t="s">
        <v>569</v>
      </c>
      <c r="L174" s="5" t="s">
        <v>576</v>
      </c>
    </row>
    <row r="175" spans="1:12" ht="43.5" x14ac:dyDescent="0.35">
      <c r="A175" s="1" t="s">
        <v>577</v>
      </c>
      <c r="B175" s="2" t="s">
        <v>578</v>
      </c>
      <c r="C175" s="2" t="s">
        <v>25</v>
      </c>
      <c r="D175" s="2" t="s">
        <v>15</v>
      </c>
      <c r="E175" s="3">
        <v>45698</v>
      </c>
      <c r="F175" s="3">
        <v>45761</v>
      </c>
      <c r="G175" s="3">
        <v>45726</v>
      </c>
      <c r="H175" s="3">
        <v>45762</v>
      </c>
      <c r="I175" s="2">
        <v>28</v>
      </c>
      <c r="J175" s="4">
        <v>36</v>
      </c>
      <c r="K175" s="5" t="s">
        <v>80</v>
      </c>
      <c r="L175" s="5" t="s">
        <v>35</v>
      </c>
    </row>
    <row r="176" spans="1:12" x14ac:dyDescent="0.35">
      <c r="A176" s="1" t="s">
        <v>579</v>
      </c>
      <c r="B176" s="2" t="s">
        <v>580</v>
      </c>
      <c r="C176" s="2" t="s">
        <v>20</v>
      </c>
      <c r="D176" s="2" t="s">
        <v>21</v>
      </c>
      <c r="E176" s="3">
        <v>45695</v>
      </c>
      <c r="F176" s="3">
        <v>45695</v>
      </c>
      <c r="G176" s="3">
        <v>45723</v>
      </c>
      <c r="H176" s="3">
        <v>45723</v>
      </c>
      <c r="I176" s="2">
        <v>28</v>
      </c>
      <c r="J176" s="4">
        <v>0</v>
      </c>
      <c r="K176" s="5" t="s">
        <v>581</v>
      </c>
      <c r="L176" s="5" t="s">
        <v>17</v>
      </c>
    </row>
    <row r="177" spans="1:12" ht="29" x14ac:dyDescent="0.35">
      <c r="A177" s="1" t="s">
        <v>582</v>
      </c>
      <c r="B177" s="2" t="s">
        <v>583</v>
      </c>
      <c r="C177" s="2" t="s">
        <v>38</v>
      </c>
      <c r="D177" s="2" t="s">
        <v>15</v>
      </c>
      <c r="E177" s="3">
        <v>45695</v>
      </c>
      <c r="F177" s="3">
        <v>45737</v>
      </c>
      <c r="G177" s="3">
        <v>45712</v>
      </c>
      <c r="H177" s="3">
        <v>45741</v>
      </c>
      <c r="I177" s="2">
        <v>17</v>
      </c>
      <c r="J177" s="4">
        <v>29</v>
      </c>
      <c r="K177" s="5" t="s">
        <v>584</v>
      </c>
      <c r="L177" s="5" t="s">
        <v>17</v>
      </c>
    </row>
    <row r="178" spans="1:12" x14ac:dyDescent="0.35">
      <c r="A178" s="1" t="s">
        <v>585</v>
      </c>
      <c r="B178" s="2" t="s">
        <v>586</v>
      </c>
      <c r="C178" s="2" t="s">
        <v>33</v>
      </c>
      <c r="D178" s="2" t="s">
        <v>15</v>
      </c>
      <c r="E178" s="3">
        <v>45695</v>
      </c>
      <c r="F178" s="3">
        <v>45695</v>
      </c>
      <c r="G178" s="3">
        <v>45713</v>
      </c>
      <c r="H178" s="3">
        <v>45713</v>
      </c>
      <c r="I178" s="2">
        <v>18</v>
      </c>
      <c r="J178" s="4">
        <v>0</v>
      </c>
      <c r="K178" s="5" t="s">
        <v>587</v>
      </c>
      <c r="L178" s="5" t="s">
        <v>17</v>
      </c>
    </row>
    <row r="179" spans="1:12" ht="72.5" x14ac:dyDescent="0.35">
      <c r="A179" s="1" t="s">
        <v>588</v>
      </c>
      <c r="B179" s="2" t="s">
        <v>589</v>
      </c>
      <c r="C179" s="2" t="s">
        <v>33</v>
      </c>
      <c r="D179" s="2" t="s">
        <v>15</v>
      </c>
      <c r="E179" s="3">
        <v>45695</v>
      </c>
      <c r="F179" s="3">
        <v>45814</v>
      </c>
      <c r="G179" s="3">
        <v>45750</v>
      </c>
      <c r="H179" s="3">
        <v>46028</v>
      </c>
      <c r="I179" s="2">
        <v>55</v>
      </c>
      <c r="J179" s="4">
        <v>278</v>
      </c>
      <c r="K179" s="5" t="s">
        <v>174</v>
      </c>
      <c r="L179" s="5" t="s">
        <v>175</v>
      </c>
    </row>
    <row r="180" spans="1:12" ht="72.5" x14ac:dyDescent="0.35">
      <c r="A180" s="1" t="s">
        <v>590</v>
      </c>
      <c r="B180" s="2" t="s">
        <v>591</v>
      </c>
      <c r="C180" s="2" t="s">
        <v>151</v>
      </c>
      <c r="D180" s="2" t="s">
        <v>21</v>
      </c>
      <c r="E180" s="3">
        <v>45694</v>
      </c>
      <c r="F180" s="3">
        <v>45798</v>
      </c>
      <c r="G180" s="3">
        <v>45811</v>
      </c>
      <c r="H180" s="3">
        <v>45811</v>
      </c>
      <c r="I180" s="2">
        <v>117</v>
      </c>
      <c r="J180" s="4">
        <v>0</v>
      </c>
      <c r="K180" s="5" t="s">
        <v>592</v>
      </c>
      <c r="L180" s="5" t="s">
        <v>593</v>
      </c>
    </row>
    <row r="181" spans="1:12" ht="29" x14ac:dyDescent="0.35">
      <c r="A181" s="1" t="s">
        <v>594</v>
      </c>
      <c r="B181" s="2" t="s">
        <v>595</v>
      </c>
      <c r="C181" s="2" t="s">
        <v>20</v>
      </c>
      <c r="D181" s="2" t="s">
        <v>21</v>
      </c>
      <c r="E181" s="3">
        <v>45692</v>
      </c>
      <c r="F181" s="3">
        <v>45692</v>
      </c>
      <c r="G181" s="3">
        <v>45791</v>
      </c>
      <c r="H181" s="3">
        <v>45791</v>
      </c>
      <c r="I181" s="2">
        <v>99</v>
      </c>
      <c r="J181" s="4">
        <v>0</v>
      </c>
      <c r="K181" s="5" t="s">
        <v>239</v>
      </c>
      <c r="L181" s="5" t="s">
        <v>35</v>
      </c>
    </row>
    <row r="182" spans="1:12" ht="58" x14ac:dyDescent="0.35">
      <c r="A182" s="1" t="s">
        <v>596</v>
      </c>
      <c r="B182" s="2" t="s">
        <v>597</v>
      </c>
      <c r="C182" s="2" t="s">
        <v>33</v>
      </c>
      <c r="D182" s="2" t="s">
        <v>15</v>
      </c>
      <c r="E182" s="3">
        <v>45688</v>
      </c>
      <c r="F182" s="3">
        <v>45713</v>
      </c>
      <c r="G182" s="3">
        <v>45730</v>
      </c>
      <c r="H182" s="3">
        <v>45730</v>
      </c>
      <c r="I182" s="2">
        <v>42</v>
      </c>
      <c r="J182" s="4">
        <v>0</v>
      </c>
      <c r="K182" s="5" t="s">
        <v>598</v>
      </c>
      <c r="L182" s="5" t="s">
        <v>204</v>
      </c>
    </row>
    <row r="183" spans="1:12" ht="58" x14ac:dyDescent="0.35">
      <c r="A183" s="1" t="s">
        <v>599</v>
      </c>
      <c r="B183" s="2" t="s">
        <v>600</v>
      </c>
      <c r="C183" s="2" t="s">
        <v>151</v>
      </c>
      <c r="D183" s="2" t="s">
        <v>15</v>
      </c>
      <c r="E183" s="3">
        <v>45687</v>
      </c>
      <c r="F183" s="3">
        <v>45714</v>
      </c>
      <c r="G183" s="3">
        <v>45708</v>
      </c>
      <c r="H183" s="3">
        <v>45721</v>
      </c>
      <c r="I183" s="2">
        <v>21</v>
      </c>
      <c r="J183" s="4">
        <v>13</v>
      </c>
      <c r="K183" s="5" t="s">
        <v>601</v>
      </c>
      <c r="L183" s="5" t="s">
        <v>35</v>
      </c>
    </row>
    <row r="184" spans="1:12" ht="333.5" x14ac:dyDescent="0.35">
      <c r="A184" s="1" t="s">
        <v>602</v>
      </c>
      <c r="B184" s="2" t="s">
        <v>603</v>
      </c>
      <c r="C184" s="2" t="s">
        <v>14</v>
      </c>
      <c r="D184" s="2" t="s">
        <v>21</v>
      </c>
      <c r="E184" s="3">
        <v>45687</v>
      </c>
      <c r="F184" s="3">
        <v>46027</v>
      </c>
      <c r="G184" s="3">
        <v>45985</v>
      </c>
      <c r="H184" s="3">
        <v>46030</v>
      </c>
      <c r="I184" s="2">
        <v>298</v>
      </c>
      <c r="J184" s="4">
        <v>45</v>
      </c>
      <c r="K184" s="5" t="s">
        <v>604</v>
      </c>
      <c r="L184" s="5" t="s">
        <v>605</v>
      </c>
    </row>
    <row r="185" spans="1:12" ht="159.5" x14ac:dyDescent="0.35">
      <c r="A185" s="1" t="s">
        <v>606</v>
      </c>
      <c r="B185" s="2" t="s">
        <v>607</v>
      </c>
      <c r="C185" s="2" t="s">
        <v>20</v>
      </c>
      <c r="D185" s="2" t="s">
        <v>21</v>
      </c>
      <c r="E185" s="3">
        <v>45684</v>
      </c>
      <c r="F185" s="3">
        <v>45727</v>
      </c>
      <c r="G185" s="3">
        <v>45748</v>
      </c>
      <c r="H185" s="3">
        <v>45748</v>
      </c>
      <c r="I185" s="2">
        <v>64</v>
      </c>
      <c r="J185" s="4">
        <v>0</v>
      </c>
      <c r="K185" s="5" t="s">
        <v>525</v>
      </c>
      <c r="L185" s="5" t="s">
        <v>460</v>
      </c>
    </row>
    <row r="186" spans="1:12" ht="29" x14ac:dyDescent="0.35">
      <c r="A186" s="1" t="s">
        <v>608</v>
      </c>
      <c r="B186" s="2" t="s">
        <v>609</v>
      </c>
      <c r="C186" s="2" t="s">
        <v>20</v>
      </c>
      <c r="D186" s="2" t="s">
        <v>21</v>
      </c>
      <c r="E186" s="3">
        <v>45681</v>
      </c>
      <c r="F186" s="3">
        <v>45819</v>
      </c>
      <c r="G186" s="3">
        <v>45842</v>
      </c>
      <c r="H186" s="3">
        <v>45842</v>
      </c>
      <c r="I186" s="2">
        <v>161</v>
      </c>
      <c r="J186" s="4">
        <v>0</v>
      </c>
      <c r="K186" s="5" t="s">
        <v>610</v>
      </c>
      <c r="L186" s="5" t="s">
        <v>35</v>
      </c>
    </row>
    <row r="187" spans="1:12" ht="145" x14ac:dyDescent="0.35">
      <c r="A187" s="1" t="s">
        <v>611</v>
      </c>
      <c r="B187" s="2" t="s">
        <v>612</v>
      </c>
      <c r="C187" s="2" t="s">
        <v>14</v>
      </c>
      <c r="D187" s="2" t="s">
        <v>21</v>
      </c>
      <c r="E187" s="3">
        <v>45681</v>
      </c>
      <c r="F187" s="3">
        <v>46093</v>
      </c>
      <c r="G187" s="3">
        <v>46062</v>
      </c>
      <c r="H187" s="3">
        <v>46079</v>
      </c>
      <c r="I187" s="2">
        <v>381</v>
      </c>
      <c r="J187" s="4">
        <v>17</v>
      </c>
      <c r="K187" s="5" t="s">
        <v>613</v>
      </c>
      <c r="L187" s="5" t="s">
        <v>614</v>
      </c>
    </row>
    <row r="188" spans="1:12" ht="58" x14ac:dyDescent="0.35">
      <c r="A188" s="1" t="s">
        <v>615</v>
      </c>
      <c r="B188" s="2" t="s">
        <v>616</v>
      </c>
      <c r="C188" s="2" t="s">
        <v>25</v>
      </c>
      <c r="D188" s="2" t="s">
        <v>21</v>
      </c>
      <c r="E188" s="3">
        <v>45678</v>
      </c>
      <c r="F188" s="3">
        <v>45785</v>
      </c>
      <c r="G188" s="3">
        <v>45776</v>
      </c>
      <c r="H188" s="3">
        <v>45796</v>
      </c>
      <c r="I188" s="2">
        <v>98</v>
      </c>
      <c r="J188" s="4">
        <v>20</v>
      </c>
      <c r="K188" s="5" t="s">
        <v>107</v>
      </c>
      <c r="L188" s="5" t="s">
        <v>617</v>
      </c>
    </row>
    <row r="189" spans="1:12" ht="319" x14ac:dyDescent="0.35">
      <c r="A189" s="1" t="s">
        <v>618</v>
      </c>
      <c r="B189" s="2" t="s">
        <v>619</v>
      </c>
      <c r="C189" s="2" t="s">
        <v>20</v>
      </c>
      <c r="D189" s="2" t="s">
        <v>21</v>
      </c>
      <c r="E189" s="3">
        <v>45674</v>
      </c>
      <c r="F189" s="3">
        <v>45963</v>
      </c>
      <c r="G189" s="3">
        <v>45937</v>
      </c>
      <c r="H189" s="3">
        <v>45982</v>
      </c>
      <c r="I189" s="2">
        <v>263</v>
      </c>
      <c r="J189" s="4">
        <v>45</v>
      </c>
      <c r="K189" s="5" t="s">
        <v>620</v>
      </c>
      <c r="L189" s="5" t="s">
        <v>621</v>
      </c>
    </row>
    <row r="190" spans="1:12" ht="246.5" x14ac:dyDescent="0.35">
      <c r="A190" s="1" t="s">
        <v>622</v>
      </c>
      <c r="B190" s="2" t="s">
        <v>623</v>
      </c>
      <c r="C190" s="2" t="s">
        <v>137</v>
      </c>
      <c r="D190" s="2" t="s">
        <v>21</v>
      </c>
      <c r="E190" s="3">
        <v>45674</v>
      </c>
      <c r="F190" s="3">
        <v>45980</v>
      </c>
      <c r="G190" s="3">
        <v>45827</v>
      </c>
      <c r="H190" s="3">
        <v>46070</v>
      </c>
      <c r="I190" s="2">
        <v>153</v>
      </c>
      <c r="J190" s="4">
        <v>243</v>
      </c>
      <c r="K190" s="5" t="s">
        <v>538</v>
      </c>
      <c r="L190" s="5" t="s">
        <v>539</v>
      </c>
    </row>
    <row r="191" spans="1:12" ht="29" x14ac:dyDescent="0.35">
      <c r="A191" s="1" t="s">
        <v>624</v>
      </c>
      <c r="B191" s="2" t="s">
        <v>625</v>
      </c>
      <c r="C191" s="2" t="s">
        <v>33</v>
      </c>
      <c r="D191" s="2" t="s">
        <v>21</v>
      </c>
      <c r="E191" s="3">
        <v>45674</v>
      </c>
      <c r="F191" s="3">
        <v>45674</v>
      </c>
      <c r="G191" s="3">
        <v>45727</v>
      </c>
      <c r="H191" s="3">
        <v>45727</v>
      </c>
      <c r="I191" s="2">
        <v>53</v>
      </c>
      <c r="J191" s="4">
        <v>0</v>
      </c>
      <c r="K191" s="5" t="s">
        <v>58</v>
      </c>
      <c r="L191" s="5" t="s">
        <v>17</v>
      </c>
    </row>
    <row r="192" spans="1:12" ht="43.5" x14ac:dyDescent="0.35">
      <c r="A192" s="1" t="s">
        <v>626</v>
      </c>
      <c r="B192" s="2" t="s">
        <v>627</v>
      </c>
      <c r="C192" s="2" t="s">
        <v>14</v>
      </c>
      <c r="D192" s="2" t="s">
        <v>21</v>
      </c>
      <c r="E192" s="3">
        <v>45674</v>
      </c>
      <c r="F192" s="3">
        <v>45674</v>
      </c>
      <c r="G192" s="3">
        <v>45706</v>
      </c>
      <c r="H192" s="3">
        <v>45706</v>
      </c>
      <c r="I192" s="2">
        <v>32</v>
      </c>
      <c r="J192" s="4">
        <v>0</v>
      </c>
      <c r="K192" s="5" t="s">
        <v>39</v>
      </c>
      <c r="L192" s="5" t="s">
        <v>356</v>
      </c>
    </row>
    <row r="193" spans="1:12" ht="72.5" x14ac:dyDescent="0.35">
      <c r="A193" s="1" t="s">
        <v>628</v>
      </c>
      <c r="B193" s="2" t="s">
        <v>629</v>
      </c>
      <c r="C193" s="2" t="s">
        <v>38</v>
      </c>
      <c r="D193" s="2" t="s">
        <v>15</v>
      </c>
      <c r="E193" s="3">
        <v>45672</v>
      </c>
      <c r="F193" s="3">
        <v>45825</v>
      </c>
      <c r="G193" s="3">
        <v>45852</v>
      </c>
      <c r="H193" s="3">
        <v>45859</v>
      </c>
      <c r="I193" s="2">
        <v>180</v>
      </c>
      <c r="J193" s="4">
        <v>7</v>
      </c>
      <c r="K193" s="5" t="s">
        <v>630</v>
      </c>
      <c r="L193" s="5" t="s">
        <v>631</v>
      </c>
    </row>
    <row r="194" spans="1:12" ht="43.5" x14ac:dyDescent="0.35">
      <c r="A194" s="1" t="s">
        <v>632</v>
      </c>
      <c r="B194" s="2" t="s">
        <v>633</v>
      </c>
      <c r="C194" s="2" t="s">
        <v>38</v>
      </c>
      <c r="D194" s="2" t="s">
        <v>15</v>
      </c>
      <c r="E194" s="3">
        <v>45672</v>
      </c>
      <c r="F194" s="3">
        <v>45672</v>
      </c>
      <c r="G194" s="3">
        <v>45706</v>
      </c>
      <c r="H194" s="3">
        <v>45706</v>
      </c>
      <c r="I194" s="2">
        <v>34</v>
      </c>
      <c r="J194" s="4">
        <v>0</v>
      </c>
      <c r="K194" s="5" t="s">
        <v>634</v>
      </c>
      <c r="L194" s="5" t="s">
        <v>122</v>
      </c>
    </row>
    <row r="195" spans="1:12" ht="409.5" x14ac:dyDescent="0.35">
      <c r="A195" s="1" t="s">
        <v>635</v>
      </c>
      <c r="B195" s="2" t="s">
        <v>636</v>
      </c>
      <c r="C195" s="2" t="s">
        <v>20</v>
      </c>
      <c r="D195" s="2" t="s">
        <v>21</v>
      </c>
      <c r="E195" s="3">
        <v>45667</v>
      </c>
      <c r="F195" s="3">
        <v>45882</v>
      </c>
      <c r="G195" s="3">
        <v>45729</v>
      </c>
      <c r="H195" s="3">
        <v>45912</v>
      </c>
      <c r="I195" s="2">
        <v>62</v>
      </c>
      <c r="J195" s="4">
        <v>183</v>
      </c>
      <c r="K195" s="5" t="s">
        <v>637</v>
      </c>
      <c r="L195" s="5" t="s">
        <v>638</v>
      </c>
    </row>
    <row r="196" spans="1:12" ht="29" x14ac:dyDescent="0.35">
      <c r="A196" s="1" t="s">
        <v>639</v>
      </c>
      <c r="B196" s="2" t="s">
        <v>640</v>
      </c>
      <c r="C196" s="2" t="s">
        <v>25</v>
      </c>
      <c r="D196" s="2" t="s">
        <v>15</v>
      </c>
      <c r="E196" s="3">
        <v>45666</v>
      </c>
      <c r="F196" s="3">
        <v>45666</v>
      </c>
      <c r="G196" s="3">
        <v>45680</v>
      </c>
      <c r="H196" s="3">
        <v>45680</v>
      </c>
      <c r="I196" s="2">
        <v>14</v>
      </c>
      <c r="J196" s="4">
        <v>0</v>
      </c>
      <c r="K196" s="5" t="s">
        <v>641</v>
      </c>
      <c r="L196" s="5" t="s">
        <v>17</v>
      </c>
    </row>
    <row r="197" spans="1:12" x14ac:dyDescent="0.35">
      <c r="A197" s="1" t="s">
        <v>642</v>
      </c>
      <c r="B197" s="2" t="s">
        <v>643</v>
      </c>
      <c r="C197" s="2" t="s">
        <v>20</v>
      </c>
      <c r="D197" s="2" t="s">
        <v>21</v>
      </c>
      <c r="E197" s="3">
        <v>45666</v>
      </c>
      <c r="F197" s="3">
        <v>45666</v>
      </c>
      <c r="G197" s="3">
        <v>45805</v>
      </c>
      <c r="H197" s="3">
        <v>45805</v>
      </c>
      <c r="I197" s="2">
        <v>139</v>
      </c>
      <c r="J197" s="4">
        <v>0</v>
      </c>
      <c r="K197" s="5" t="s">
        <v>296</v>
      </c>
      <c r="L197" s="5" t="s">
        <v>46</v>
      </c>
    </row>
    <row r="198" spans="1:12" ht="58" x14ac:dyDescent="0.35">
      <c r="A198" s="1" t="s">
        <v>644</v>
      </c>
      <c r="B198" s="2" t="s">
        <v>645</v>
      </c>
      <c r="C198" s="2" t="s">
        <v>20</v>
      </c>
      <c r="D198" s="2" t="s">
        <v>21</v>
      </c>
      <c r="E198" s="3">
        <v>45665</v>
      </c>
      <c r="F198" s="3">
        <v>45671</v>
      </c>
      <c r="G198" s="3">
        <v>45693</v>
      </c>
      <c r="H198" s="3">
        <v>45693</v>
      </c>
      <c r="I198" s="2">
        <v>28</v>
      </c>
      <c r="J198" s="4">
        <v>0</v>
      </c>
      <c r="K198" s="5" t="s">
        <v>551</v>
      </c>
      <c r="L198" s="5" t="s">
        <v>115</v>
      </c>
    </row>
    <row r="199" spans="1:12" x14ac:dyDescent="0.35">
      <c r="A199" s="1" t="s">
        <v>646</v>
      </c>
      <c r="B199" s="2" t="s">
        <v>647</v>
      </c>
      <c r="C199" s="2" t="s">
        <v>20</v>
      </c>
      <c r="D199" s="2" t="s">
        <v>21</v>
      </c>
      <c r="E199" s="3">
        <v>45645</v>
      </c>
      <c r="F199" s="3">
        <v>45645</v>
      </c>
      <c r="G199" s="3">
        <v>45671</v>
      </c>
      <c r="H199" s="3">
        <v>45671</v>
      </c>
      <c r="I199" s="2">
        <v>26</v>
      </c>
      <c r="J199" s="4">
        <v>0</v>
      </c>
      <c r="K199" s="5" t="s">
        <v>648</v>
      </c>
      <c r="L199" s="5" t="s">
        <v>17</v>
      </c>
    </row>
    <row r="200" spans="1:12" ht="43.5" x14ac:dyDescent="0.35">
      <c r="A200" s="1" t="s">
        <v>649</v>
      </c>
      <c r="B200" s="2" t="s">
        <v>650</v>
      </c>
      <c r="C200" s="2" t="s">
        <v>20</v>
      </c>
      <c r="D200" s="2" t="s">
        <v>21</v>
      </c>
      <c r="E200" s="3">
        <v>45637</v>
      </c>
      <c r="F200" s="3">
        <v>45727</v>
      </c>
      <c r="G200" s="3">
        <v>45755</v>
      </c>
      <c r="H200" s="3">
        <v>45755</v>
      </c>
      <c r="I200" s="2">
        <v>118</v>
      </c>
      <c r="J200" s="4">
        <v>0</v>
      </c>
      <c r="K200" s="5" t="s">
        <v>70</v>
      </c>
      <c r="L200" s="5" t="s">
        <v>651</v>
      </c>
    </row>
    <row r="201" spans="1:12" ht="29" x14ac:dyDescent="0.35">
      <c r="A201" s="1" t="s">
        <v>652</v>
      </c>
      <c r="B201" s="2" t="s">
        <v>653</v>
      </c>
      <c r="C201" s="2" t="s">
        <v>20</v>
      </c>
      <c r="D201" s="2" t="s">
        <v>15</v>
      </c>
      <c r="E201" s="3">
        <v>45636</v>
      </c>
      <c r="F201" s="3">
        <v>45720</v>
      </c>
      <c r="G201" s="3">
        <v>45741</v>
      </c>
      <c r="H201" s="3">
        <v>45741</v>
      </c>
      <c r="I201" s="2">
        <v>105</v>
      </c>
      <c r="J201" s="4">
        <v>0</v>
      </c>
      <c r="K201" s="5" t="s">
        <v>654</v>
      </c>
      <c r="L201" s="5" t="s">
        <v>63</v>
      </c>
    </row>
    <row r="202" spans="1:12" ht="362.5" x14ac:dyDescent="0.35">
      <c r="A202" s="1" t="s">
        <v>655</v>
      </c>
      <c r="B202" s="2" t="s">
        <v>656</v>
      </c>
      <c r="C202" s="2" t="s">
        <v>14</v>
      </c>
      <c r="D202" s="2" t="s">
        <v>15</v>
      </c>
      <c r="E202" s="3">
        <v>45637</v>
      </c>
      <c r="F202" s="3">
        <v>45733</v>
      </c>
      <c r="G202" s="3">
        <v>45796</v>
      </c>
      <c r="H202" s="3">
        <v>45796</v>
      </c>
      <c r="I202" s="2">
        <v>159</v>
      </c>
      <c r="J202" s="4">
        <v>0</v>
      </c>
      <c r="K202" s="5" t="s">
        <v>657</v>
      </c>
      <c r="L202" s="5" t="s">
        <v>658</v>
      </c>
    </row>
    <row r="203" spans="1:12" ht="159.5" x14ac:dyDescent="0.35">
      <c r="A203" s="1" t="s">
        <v>659</v>
      </c>
      <c r="B203" s="2" t="s">
        <v>660</v>
      </c>
      <c r="C203" s="2" t="s">
        <v>25</v>
      </c>
      <c r="D203" s="2" t="s">
        <v>21</v>
      </c>
      <c r="E203" s="3">
        <v>45635</v>
      </c>
      <c r="F203" s="3">
        <v>45849</v>
      </c>
      <c r="G203" s="3">
        <v>45687</v>
      </c>
      <c r="H203" s="3">
        <v>45916</v>
      </c>
      <c r="I203" s="2">
        <v>52</v>
      </c>
      <c r="J203" s="4">
        <v>229</v>
      </c>
      <c r="K203" s="5" t="s">
        <v>661</v>
      </c>
      <c r="L203" s="5" t="s">
        <v>460</v>
      </c>
    </row>
    <row r="204" spans="1:12" ht="43.5" x14ac:dyDescent="0.35">
      <c r="A204" s="1" t="s">
        <v>662</v>
      </c>
      <c r="B204" s="2" t="s">
        <v>663</v>
      </c>
      <c r="C204" s="2" t="s">
        <v>33</v>
      </c>
      <c r="D204" s="2" t="s">
        <v>21</v>
      </c>
      <c r="E204" s="3">
        <v>45631</v>
      </c>
      <c r="F204" s="3">
        <v>45946</v>
      </c>
      <c r="G204" s="3">
        <v>45936</v>
      </c>
      <c r="H204" s="3">
        <v>45936</v>
      </c>
      <c r="I204" s="2">
        <v>305</v>
      </c>
      <c r="J204" s="4">
        <v>0</v>
      </c>
      <c r="K204" s="5" t="s">
        <v>551</v>
      </c>
      <c r="L204" s="5" t="s">
        <v>664</v>
      </c>
    </row>
    <row r="205" spans="1:12" ht="188.5" x14ac:dyDescent="0.35">
      <c r="A205" s="1" t="s">
        <v>665</v>
      </c>
      <c r="B205" s="2" t="s">
        <v>666</v>
      </c>
      <c r="C205" s="2" t="s">
        <v>33</v>
      </c>
      <c r="D205" s="2" t="s">
        <v>21</v>
      </c>
      <c r="E205" s="3">
        <v>45631</v>
      </c>
      <c r="F205" s="3">
        <v>45967</v>
      </c>
      <c r="G205" s="3">
        <v>45790</v>
      </c>
      <c r="H205" s="3">
        <v>45986</v>
      </c>
      <c r="I205" s="2">
        <v>159</v>
      </c>
      <c r="J205" s="4">
        <v>196</v>
      </c>
      <c r="K205" s="5" t="s">
        <v>667</v>
      </c>
      <c r="L205" s="5" t="s">
        <v>668</v>
      </c>
    </row>
    <row r="206" spans="1:12" ht="159.5" x14ac:dyDescent="0.35">
      <c r="A206" s="1" t="s">
        <v>669</v>
      </c>
      <c r="B206" s="2" t="s">
        <v>670</v>
      </c>
      <c r="C206" s="2" t="s">
        <v>284</v>
      </c>
      <c r="D206" s="2" t="s">
        <v>21</v>
      </c>
      <c r="E206" s="3">
        <v>45629</v>
      </c>
      <c r="F206" s="3">
        <v>45855</v>
      </c>
      <c r="G206" s="3">
        <v>45870</v>
      </c>
      <c r="H206" s="3">
        <v>45901</v>
      </c>
      <c r="I206" s="2">
        <v>241</v>
      </c>
      <c r="J206" s="4">
        <v>31</v>
      </c>
      <c r="K206" s="5" t="s">
        <v>525</v>
      </c>
      <c r="L206" s="5" t="s">
        <v>460</v>
      </c>
    </row>
    <row r="207" spans="1:12" ht="130.5" x14ac:dyDescent="0.35">
      <c r="A207" s="1" t="s">
        <v>671</v>
      </c>
      <c r="B207" s="2" t="s">
        <v>672</v>
      </c>
      <c r="C207" s="2" t="s">
        <v>25</v>
      </c>
      <c r="D207" s="2" t="s">
        <v>21</v>
      </c>
      <c r="E207" s="3">
        <v>45684</v>
      </c>
      <c r="F207" s="3">
        <v>45764</v>
      </c>
      <c r="G207" s="3">
        <v>45778</v>
      </c>
      <c r="H207" s="3">
        <v>45778</v>
      </c>
      <c r="I207" s="2">
        <v>94</v>
      </c>
      <c r="J207" s="4">
        <v>0</v>
      </c>
      <c r="K207" s="5" t="s">
        <v>400</v>
      </c>
      <c r="L207" s="5" t="s">
        <v>401</v>
      </c>
    </row>
    <row r="208" spans="1:12" ht="159.5" x14ac:dyDescent="0.35">
      <c r="A208" s="1" t="s">
        <v>673</v>
      </c>
      <c r="B208" s="2" t="s">
        <v>674</v>
      </c>
      <c r="C208" s="2" t="s">
        <v>33</v>
      </c>
      <c r="D208" s="2" t="s">
        <v>15</v>
      </c>
      <c r="E208" s="3">
        <v>45624</v>
      </c>
      <c r="F208" s="3">
        <v>45772</v>
      </c>
      <c r="G208" s="3">
        <v>45685</v>
      </c>
      <c r="H208" s="3">
        <v>45786</v>
      </c>
      <c r="I208" s="2">
        <v>61</v>
      </c>
      <c r="J208" s="4">
        <v>101</v>
      </c>
      <c r="K208" s="5" t="s">
        <v>675</v>
      </c>
      <c r="L208" s="5" t="s">
        <v>676</v>
      </c>
    </row>
    <row r="209" spans="1:12" ht="87" x14ac:dyDescent="0.35">
      <c r="A209" s="1" t="s">
        <v>677</v>
      </c>
      <c r="B209" s="2" t="s">
        <v>678</v>
      </c>
      <c r="C209" s="2" t="s">
        <v>25</v>
      </c>
      <c r="D209" s="2" t="s">
        <v>15</v>
      </c>
      <c r="E209" s="3">
        <v>45623</v>
      </c>
      <c r="F209" s="3">
        <v>46128</v>
      </c>
      <c r="G209" s="3">
        <v>46106</v>
      </c>
      <c r="H209" s="3">
        <v>46106</v>
      </c>
      <c r="I209" s="2">
        <v>483</v>
      </c>
      <c r="J209" s="4">
        <v>0</v>
      </c>
      <c r="K209" s="5" t="s">
        <v>679</v>
      </c>
      <c r="L209" s="5" t="s">
        <v>680</v>
      </c>
    </row>
    <row r="210" spans="1:12" ht="174" x14ac:dyDescent="0.35">
      <c r="A210" s="1" t="s">
        <v>681</v>
      </c>
      <c r="B210" s="2" t="s">
        <v>682</v>
      </c>
      <c r="C210" s="2" t="s">
        <v>33</v>
      </c>
      <c r="D210" s="2" t="s">
        <v>21</v>
      </c>
      <c r="E210" s="3">
        <v>45622</v>
      </c>
      <c r="F210" s="3">
        <v>46134</v>
      </c>
      <c r="G210" s="3">
        <v>46009</v>
      </c>
      <c r="H210" s="3">
        <v>46121</v>
      </c>
      <c r="I210" s="2">
        <v>387</v>
      </c>
      <c r="J210" s="4">
        <v>112</v>
      </c>
      <c r="K210" s="5" t="s">
        <v>683</v>
      </c>
      <c r="L210" s="5" t="s">
        <v>684</v>
      </c>
    </row>
    <row r="211" spans="1:12" ht="43.5" x14ac:dyDescent="0.35">
      <c r="A211" s="1" t="s">
        <v>685</v>
      </c>
      <c r="B211" s="2" t="s">
        <v>686</v>
      </c>
      <c r="C211" s="2" t="s">
        <v>33</v>
      </c>
      <c r="D211" s="2" t="s">
        <v>15</v>
      </c>
      <c r="E211" s="3">
        <v>45621</v>
      </c>
      <c r="F211" s="3">
        <v>45629</v>
      </c>
      <c r="G211" s="3">
        <v>45659</v>
      </c>
      <c r="H211" s="3">
        <v>45659</v>
      </c>
      <c r="I211" s="2">
        <v>38</v>
      </c>
      <c r="J211" s="4">
        <v>0</v>
      </c>
      <c r="K211" s="5" t="s">
        <v>687</v>
      </c>
      <c r="L211" s="5" t="s">
        <v>35</v>
      </c>
    </row>
    <row r="212" spans="1:12" ht="391.5" x14ac:dyDescent="0.35">
      <c r="A212" s="1" t="s">
        <v>688</v>
      </c>
      <c r="B212" s="2" t="s">
        <v>689</v>
      </c>
      <c r="C212" s="2" t="s">
        <v>20</v>
      </c>
      <c r="D212" s="2" t="s">
        <v>15</v>
      </c>
      <c r="E212" s="3">
        <v>45616</v>
      </c>
      <c r="F212" s="3">
        <v>45880</v>
      </c>
      <c r="G212" s="3">
        <v>45832</v>
      </c>
      <c r="H212" s="3">
        <v>45883</v>
      </c>
      <c r="I212" s="2">
        <v>216</v>
      </c>
      <c r="J212" s="4">
        <v>51</v>
      </c>
      <c r="K212" s="5" t="s">
        <v>690</v>
      </c>
      <c r="L212" s="5" t="s">
        <v>691</v>
      </c>
    </row>
    <row r="213" spans="1:12" x14ac:dyDescent="0.35">
      <c r="A213" s="1" t="s">
        <v>692</v>
      </c>
      <c r="B213" s="2" t="s">
        <v>693</v>
      </c>
      <c r="C213" s="2" t="s">
        <v>33</v>
      </c>
      <c r="D213" s="2" t="s">
        <v>15</v>
      </c>
      <c r="E213" s="3">
        <v>45614</v>
      </c>
      <c r="F213" s="3">
        <v>45614</v>
      </c>
      <c r="G213" s="3">
        <v>45631</v>
      </c>
      <c r="H213" s="3">
        <v>45631</v>
      </c>
      <c r="I213" s="2">
        <v>17</v>
      </c>
      <c r="J213" s="4">
        <v>0</v>
      </c>
      <c r="K213" s="5" t="s">
        <v>694</v>
      </c>
      <c r="L213" s="5" t="s">
        <v>17</v>
      </c>
    </row>
    <row r="214" spans="1:12" ht="58" x14ac:dyDescent="0.35">
      <c r="A214" s="1" t="s">
        <v>695</v>
      </c>
      <c r="B214" s="2" t="s">
        <v>696</v>
      </c>
      <c r="C214" s="2" t="s">
        <v>25</v>
      </c>
      <c r="D214" s="2" t="s">
        <v>15</v>
      </c>
      <c r="E214" s="3">
        <v>45611</v>
      </c>
      <c r="F214" s="3">
        <v>45611</v>
      </c>
      <c r="G214" s="3">
        <v>45644</v>
      </c>
      <c r="H214" s="3">
        <v>45701</v>
      </c>
      <c r="I214" s="2">
        <v>33</v>
      </c>
      <c r="J214" s="4">
        <v>57</v>
      </c>
      <c r="K214" s="5" t="s">
        <v>107</v>
      </c>
      <c r="L214" s="5" t="s">
        <v>67</v>
      </c>
    </row>
    <row r="215" spans="1:12" ht="72.5" x14ac:dyDescent="0.35">
      <c r="A215" s="1" t="s">
        <v>697</v>
      </c>
      <c r="B215" s="2" t="s">
        <v>698</v>
      </c>
      <c r="C215" s="2" t="s">
        <v>20</v>
      </c>
      <c r="D215" s="2" t="s">
        <v>21</v>
      </c>
      <c r="E215" s="3">
        <v>45609</v>
      </c>
      <c r="F215" s="3">
        <v>45616</v>
      </c>
      <c r="G215" s="3">
        <v>45663</v>
      </c>
      <c r="H215" s="3">
        <v>45663</v>
      </c>
      <c r="I215" s="2">
        <v>54</v>
      </c>
      <c r="J215" s="4">
        <v>0</v>
      </c>
      <c r="K215" s="5" t="s">
        <v>174</v>
      </c>
      <c r="L215" s="5" t="s">
        <v>175</v>
      </c>
    </row>
    <row r="216" spans="1:12" ht="29" x14ac:dyDescent="0.35">
      <c r="A216" s="1" t="s">
        <v>699</v>
      </c>
      <c r="B216" s="2" t="s">
        <v>700</v>
      </c>
      <c r="C216" s="2" t="s">
        <v>20</v>
      </c>
      <c r="D216" s="2" t="s">
        <v>21</v>
      </c>
      <c r="E216" s="3">
        <v>45609</v>
      </c>
      <c r="F216" s="3">
        <v>45609</v>
      </c>
      <c r="G216" s="3">
        <v>45618</v>
      </c>
      <c r="H216" s="3">
        <v>45618</v>
      </c>
      <c r="I216" s="2">
        <v>9</v>
      </c>
      <c r="J216" s="4">
        <v>0</v>
      </c>
      <c r="K216" s="6" t="s">
        <v>701</v>
      </c>
      <c r="L216" s="5" t="s">
        <v>63</v>
      </c>
    </row>
    <row r="217" spans="1:12" ht="362.5" x14ac:dyDescent="0.35">
      <c r="A217" s="1" t="s">
        <v>702</v>
      </c>
      <c r="B217" s="2" t="s">
        <v>703</v>
      </c>
      <c r="C217" s="2" t="s">
        <v>33</v>
      </c>
      <c r="D217" s="2" t="s">
        <v>21</v>
      </c>
      <c r="E217" s="3">
        <v>45607</v>
      </c>
      <c r="F217" s="3">
        <v>46120</v>
      </c>
      <c r="G217" s="3">
        <v>46076</v>
      </c>
      <c r="H217" s="3">
        <v>46076</v>
      </c>
      <c r="I217" s="2">
        <v>469</v>
      </c>
      <c r="J217" s="4">
        <v>0</v>
      </c>
      <c r="K217" s="5" t="s">
        <v>704</v>
      </c>
      <c r="L217" s="5" t="s">
        <v>705</v>
      </c>
    </row>
    <row r="218" spans="1:12" ht="87" x14ac:dyDescent="0.35">
      <c r="A218" s="1" t="s">
        <v>706</v>
      </c>
      <c r="B218" s="2" t="s">
        <v>707</v>
      </c>
      <c r="C218" s="2" t="s">
        <v>20</v>
      </c>
      <c r="D218" s="2" t="s">
        <v>15</v>
      </c>
      <c r="E218" s="3">
        <v>45604</v>
      </c>
      <c r="F218" s="3">
        <v>45608</v>
      </c>
      <c r="G218" s="3">
        <v>45625</v>
      </c>
      <c r="H218" s="3">
        <v>45625</v>
      </c>
      <c r="I218" s="2">
        <v>21</v>
      </c>
      <c r="J218" s="4">
        <v>0</v>
      </c>
      <c r="K218" s="5" t="s">
        <v>326</v>
      </c>
      <c r="L218" s="5" t="s">
        <v>35</v>
      </c>
    </row>
    <row r="219" spans="1:12" ht="101.5" x14ac:dyDescent="0.35">
      <c r="A219" s="1" t="s">
        <v>708</v>
      </c>
      <c r="B219" s="2" t="s">
        <v>709</v>
      </c>
      <c r="C219" s="2" t="s">
        <v>20</v>
      </c>
      <c r="D219" s="2" t="s">
        <v>21</v>
      </c>
      <c r="E219" s="3">
        <v>45603</v>
      </c>
      <c r="F219" s="3">
        <v>45919</v>
      </c>
      <c r="G219" s="3">
        <v>45859</v>
      </c>
      <c r="H219" s="3">
        <v>45926</v>
      </c>
      <c r="I219" s="2">
        <v>256</v>
      </c>
      <c r="J219" s="4">
        <v>67</v>
      </c>
      <c r="K219" s="5" t="s">
        <v>218</v>
      </c>
      <c r="L219" s="5" t="s">
        <v>710</v>
      </c>
    </row>
    <row r="220" spans="1:12" ht="29" x14ac:dyDescent="0.35">
      <c r="A220" s="1" t="s">
        <v>711</v>
      </c>
      <c r="B220" s="2" t="s">
        <v>712</v>
      </c>
      <c r="C220" s="2" t="s">
        <v>20</v>
      </c>
      <c r="D220" s="2" t="s">
        <v>15</v>
      </c>
      <c r="E220" s="3">
        <v>45603</v>
      </c>
      <c r="F220" s="3">
        <v>45842</v>
      </c>
      <c r="G220" s="3">
        <v>45621</v>
      </c>
      <c r="H220" s="3">
        <v>45621</v>
      </c>
      <c r="I220" s="2">
        <v>18</v>
      </c>
      <c r="J220" s="4">
        <v>0</v>
      </c>
      <c r="K220" s="5" t="s">
        <v>654</v>
      </c>
      <c r="L220" s="5" t="s">
        <v>17</v>
      </c>
    </row>
    <row r="221" spans="1:12" ht="409.5" x14ac:dyDescent="0.35">
      <c r="A221" s="1" t="s">
        <v>713</v>
      </c>
      <c r="B221" s="2" t="s">
        <v>714</v>
      </c>
      <c r="C221" s="2" t="s">
        <v>38</v>
      </c>
      <c r="D221" s="2" t="s">
        <v>15</v>
      </c>
      <c r="E221" s="3">
        <v>45602</v>
      </c>
      <c r="F221" s="3">
        <v>45847</v>
      </c>
      <c r="G221" s="3">
        <v>45743</v>
      </c>
      <c r="H221" s="3">
        <v>45852</v>
      </c>
      <c r="I221" s="2">
        <v>141</v>
      </c>
      <c r="J221" s="4">
        <v>109</v>
      </c>
      <c r="K221" s="5" t="s">
        <v>715</v>
      </c>
      <c r="L221" s="5" t="s">
        <v>236</v>
      </c>
    </row>
    <row r="222" spans="1:12" ht="101.5" x14ac:dyDescent="0.35">
      <c r="A222" s="1" t="s">
        <v>716</v>
      </c>
      <c r="B222" s="2" t="s">
        <v>717</v>
      </c>
      <c r="C222" s="2" t="s">
        <v>20</v>
      </c>
      <c r="D222" s="2" t="s">
        <v>15</v>
      </c>
      <c r="E222" s="3">
        <v>45600</v>
      </c>
      <c r="F222" s="3">
        <v>45609</v>
      </c>
      <c r="G222" s="3">
        <v>45623</v>
      </c>
      <c r="H222" s="3">
        <v>45623</v>
      </c>
      <c r="I222" s="2">
        <v>23</v>
      </c>
      <c r="J222" s="4">
        <v>0</v>
      </c>
      <c r="K222" s="5" t="s">
        <v>718</v>
      </c>
      <c r="L222" s="5" t="s">
        <v>67</v>
      </c>
    </row>
    <row r="223" spans="1:12" ht="174" x14ac:dyDescent="0.35">
      <c r="A223" s="1" t="s">
        <v>719</v>
      </c>
      <c r="B223" s="2" t="s">
        <v>720</v>
      </c>
      <c r="C223" s="2" t="s">
        <v>14</v>
      </c>
      <c r="D223" s="2" t="s">
        <v>15</v>
      </c>
      <c r="E223" s="3">
        <v>45603</v>
      </c>
      <c r="F223" s="3">
        <v>45741</v>
      </c>
      <c r="G223" s="3">
        <v>45702</v>
      </c>
      <c r="H223" s="3">
        <v>45723</v>
      </c>
      <c r="I223" s="2">
        <v>99</v>
      </c>
      <c r="J223" s="4">
        <v>21</v>
      </c>
      <c r="K223" s="5" t="s">
        <v>721</v>
      </c>
      <c r="L223" s="5" t="s">
        <v>722</v>
      </c>
    </row>
    <row r="224" spans="1:12" ht="72.5" x14ac:dyDescent="0.35">
      <c r="A224" s="1" t="s">
        <v>723</v>
      </c>
      <c r="B224" s="2" t="s">
        <v>724</v>
      </c>
      <c r="C224" s="2" t="s">
        <v>25</v>
      </c>
      <c r="D224" s="2" t="s">
        <v>15</v>
      </c>
      <c r="E224" s="3">
        <v>45596</v>
      </c>
      <c r="F224" s="3">
        <v>45602</v>
      </c>
      <c r="G224" s="3">
        <v>45622</v>
      </c>
      <c r="H224" s="3">
        <v>45622</v>
      </c>
      <c r="I224" s="2">
        <v>26</v>
      </c>
      <c r="J224" s="4">
        <v>0</v>
      </c>
      <c r="K224" s="5" t="s">
        <v>725</v>
      </c>
      <c r="L224" s="5" t="s">
        <v>726</v>
      </c>
    </row>
    <row r="225" spans="1:12" ht="29" x14ac:dyDescent="0.35">
      <c r="A225" s="1" t="s">
        <v>727</v>
      </c>
      <c r="B225" s="2" t="s">
        <v>728</v>
      </c>
      <c r="C225" s="2" t="s">
        <v>33</v>
      </c>
      <c r="D225" s="2" t="s">
        <v>15</v>
      </c>
      <c r="E225" s="3">
        <v>45594</v>
      </c>
      <c r="F225" s="3">
        <v>45594</v>
      </c>
      <c r="G225" s="3">
        <v>45607</v>
      </c>
      <c r="H225" s="3">
        <v>45607</v>
      </c>
      <c r="I225" s="2">
        <v>13</v>
      </c>
      <c r="J225" s="4">
        <v>0</v>
      </c>
      <c r="K225" s="5" t="s">
        <v>641</v>
      </c>
      <c r="L225" s="5" t="s">
        <v>17</v>
      </c>
    </row>
    <row r="226" spans="1:12" ht="58" x14ac:dyDescent="0.35">
      <c r="A226" s="1" t="s">
        <v>729</v>
      </c>
      <c r="B226" s="2" t="s">
        <v>730</v>
      </c>
      <c r="C226" s="2" t="s">
        <v>25</v>
      </c>
      <c r="D226" s="2" t="s">
        <v>21</v>
      </c>
      <c r="E226" s="3">
        <v>45595</v>
      </c>
      <c r="F226" s="3">
        <v>45881</v>
      </c>
      <c r="G226" s="3">
        <v>45645</v>
      </c>
      <c r="H226" s="3">
        <v>45863</v>
      </c>
      <c r="I226" s="2">
        <v>50</v>
      </c>
      <c r="J226" s="4">
        <v>218</v>
      </c>
      <c r="K226" s="5" t="s">
        <v>731</v>
      </c>
      <c r="L226" s="5" t="s">
        <v>17</v>
      </c>
    </row>
    <row r="227" spans="1:12" ht="130.5" x14ac:dyDescent="0.35">
      <c r="A227" s="1" t="s">
        <v>732</v>
      </c>
      <c r="B227" s="2" t="s">
        <v>733</v>
      </c>
      <c r="C227" s="2" t="s">
        <v>25</v>
      </c>
      <c r="D227" s="2" t="s">
        <v>21</v>
      </c>
      <c r="E227" s="3">
        <v>45594</v>
      </c>
      <c r="F227" s="3">
        <v>45895</v>
      </c>
      <c r="G227" s="3">
        <v>45783</v>
      </c>
      <c r="H227" s="3">
        <v>45866</v>
      </c>
      <c r="I227" s="2">
        <v>189</v>
      </c>
      <c r="J227" s="4">
        <v>83</v>
      </c>
      <c r="K227" s="5" t="s">
        <v>734</v>
      </c>
      <c r="L227" s="5" t="s">
        <v>735</v>
      </c>
    </row>
    <row r="228" spans="1:12" ht="72.5" x14ac:dyDescent="0.35">
      <c r="A228" s="1" t="s">
        <v>736</v>
      </c>
      <c r="B228" s="2" t="s">
        <v>737</v>
      </c>
      <c r="C228" s="2" t="s">
        <v>137</v>
      </c>
      <c r="D228" s="2" t="s">
        <v>21</v>
      </c>
      <c r="E228" s="3">
        <v>45594</v>
      </c>
      <c r="F228" s="3">
        <v>45595</v>
      </c>
      <c r="G228" s="3">
        <v>45666</v>
      </c>
      <c r="H228" s="3">
        <v>45666</v>
      </c>
      <c r="I228" s="2">
        <v>72</v>
      </c>
      <c r="J228" s="4">
        <v>0</v>
      </c>
      <c r="K228" s="5" t="s">
        <v>738</v>
      </c>
      <c r="L228" s="5" t="s">
        <v>112</v>
      </c>
    </row>
    <row r="229" spans="1:12" ht="391.5" x14ac:dyDescent="0.35">
      <c r="A229" s="1" t="s">
        <v>739</v>
      </c>
      <c r="B229" s="2" t="s">
        <v>740</v>
      </c>
      <c r="C229" s="2" t="s">
        <v>20</v>
      </c>
      <c r="D229" s="2" t="s">
        <v>21</v>
      </c>
      <c r="E229" s="3">
        <v>45593</v>
      </c>
      <c r="F229" s="3">
        <v>45695</v>
      </c>
      <c r="G229" s="3">
        <v>45689</v>
      </c>
      <c r="H229" s="3">
        <v>45719</v>
      </c>
      <c r="I229" s="2">
        <v>96</v>
      </c>
      <c r="J229" s="4">
        <v>30</v>
      </c>
      <c r="K229" s="5" t="s">
        <v>741</v>
      </c>
      <c r="L229" s="5" t="s">
        <v>742</v>
      </c>
    </row>
    <row r="230" spans="1:12" ht="261" x14ac:dyDescent="0.35">
      <c r="A230" s="1" t="s">
        <v>743</v>
      </c>
      <c r="B230" s="2" t="s">
        <v>744</v>
      </c>
      <c r="C230" s="2" t="s">
        <v>38</v>
      </c>
      <c r="D230" s="2" t="s">
        <v>15</v>
      </c>
      <c r="E230" s="3">
        <v>45590</v>
      </c>
      <c r="F230" s="3">
        <v>46084</v>
      </c>
      <c r="G230" s="3">
        <v>45975</v>
      </c>
      <c r="H230" s="3">
        <v>46036</v>
      </c>
      <c r="I230" s="2">
        <v>385</v>
      </c>
      <c r="J230" s="4">
        <v>61</v>
      </c>
      <c r="K230" s="5" t="s">
        <v>745</v>
      </c>
      <c r="L230" s="5" t="s">
        <v>746</v>
      </c>
    </row>
    <row r="231" spans="1:12" ht="72.5" x14ac:dyDescent="0.35">
      <c r="A231" s="1" t="s">
        <v>747</v>
      </c>
      <c r="B231" s="2" t="s">
        <v>748</v>
      </c>
      <c r="C231" s="2" t="s">
        <v>33</v>
      </c>
      <c r="D231" s="2" t="s">
        <v>21</v>
      </c>
      <c r="E231" s="3">
        <v>45590</v>
      </c>
      <c r="F231" s="3">
        <v>45622</v>
      </c>
      <c r="G231" s="3">
        <v>45699</v>
      </c>
      <c r="H231" s="3">
        <v>45699</v>
      </c>
      <c r="I231" s="2">
        <v>109</v>
      </c>
      <c r="J231" s="4">
        <v>0</v>
      </c>
      <c r="K231" s="5" t="s">
        <v>749</v>
      </c>
      <c r="L231" s="5" t="s">
        <v>112</v>
      </c>
    </row>
    <row r="232" spans="1:12" ht="87" x14ac:dyDescent="0.35">
      <c r="A232" s="1" t="s">
        <v>750</v>
      </c>
      <c r="B232" s="2" t="s">
        <v>751</v>
      </c>
      <c r="C232" s="2" t="s">
        <v>25</v>
      </c>
      <c r="D232" s="2" t="s">
        <v>15</v>
      </c>
      <c r="E232" s="3">
        <v>45589</v>
      </c>
      <c r="F232" s="3">
        <v>45828</v>
      </c>
      <c r="G232" s="3">
        <v>45838</v>
      </c>
      <c r="H232" s="3">
        <v>45838</v>
      </c>
      <c r="I232" s="2">
        <v>249</v>
      </c>
      <c r="J232" s="4">
        <v>0</v>
      </c>
      <c r="K232" s="5" t="s">
        <v>752</v>
      </c>
      <c r="L232" s="5" t="s">
        <v>753</v>
      </c>
    </row>
    <row r="233" spans="1:12" ht="130.5" x14ac:dyDescent="0.35">
      <c r="A233" s="1" t="s">
        <v>754</v>
      </c>
      <c r="B233" s="2" t="s">
        <v>755</v>
      </c>
      <c r="C233" s="2" t="s">
        <v>33</v>
      </c>
      <c r="D233" s="2" t="s">
        <v>15</v>
      </c>
      <c r="E233" s="3">
        <v>45588</v>
      </c>
      <c r="F233" s="3">
        <v>45596</v>
      </c>
      <c r="G233" s="3">
        <v>45604</v>
      </c>
      <c r="H233" s="3">
        <v>45604</v>
      </c>
      <c r="I233" s="2">
        <v>16</v>
      </c>
      <c r="J233" s="4">
        <v>0</v>
      </c>
      <c r="K233" s="5" t="s">
        <v>756</v>
      </c>
      <c r="L233" s="5" t="s">
        <v>219</v>
      </c>
    </row>
    <row r="234" spans="1:12" ht="246.5" x14ac:dyDescent="0.35">
      <c r="A234" s="1" t="s">
        <v>757</v>
      </c>
      <c r="B234" s="2" t="s">
        <v>758</v>
      </c>
      <c r="C234" s="2" t="s">
        <v>20</v>
      </c>
      <c r="D234" s="2" t="s">
        <v>21</v>
      </c>
      <c r="E234" s="3">
        <v>45587</v>
      </c>
      <c r="F234" s="3">
        <v>45614</v>
      </c>
      <c r="G234" s="3">
        <v>45639</v>
      </c>
      <c r="H234" s="3">
        <v>45639</v>
      </c>
      <c r="I234" s="2">
        <v>52</v>
      </c>
      <c r="J234" s="4">
        <v>0</v>
      </c>
      <c r="K234" s="5" t="s">
        <v>759</v>
      </c>
      <c r="L234" s="5" t="s">
        <v>760</v>
      </c>
    </row>
    <row r="235" spans="1:12" ht="29" x14ac:dyDescent="0.35">
      <c r="A235" s="1" t="s">
        <v>761</v>
      </c>
      <c r="B235" s="2" t="s">
        <v>762</v>
      </c>
      <c r="C235" s="2" t="s">
        <v>151</v>
      </c>
      <c r="D235" s="2" t="s">
        <v>15</v>
      </c>
      <c r="E235" s="3">
        <v>45587</v>
      </c>
      <c r="F235" s="3">
        <v>45587</v>
      </c>
      <c r="G235" s="3">
        <v>45594</v>
      </c>
      <c r="H235" s="3">
        <v>45594</v>
      </c>
      <c r="I235" s="2">
        <v>7</v>
      </c>
      <c r="J235" s="4">
        <v>0</v>
      </c>
      <c r="K235" s="5" t="s">
        <v>22</v>
      </c>
      <c r="L235" s="5" t="s">
        <v>17</v>
      </c>
    </row>
    <row r="236" spans="1:12" ht="116" x14ac:dyDescent="0.35">
      <c r="A236" s="1" t="s">
        <v>763</v>
      </c>
      <c r="B236" s="2" t="s">
        <v>764</v>
      </c>
      <c r="C236" s="2" t="s">
        <v>33</v>
      </c>
      <c r="D236" s="2" t="s">
        <v>15</v>
      </c>
      <c r="E236" s="3">
        <v>45587</v>
      </c>
      <c r="F236" s="3">
        <v>45891</v>
      </c>
      <c r="G236" s="3">
        <v>45888</v>
      </c>
      <c r="H236" s="3">
        <v>45897</v>
      </c>
      <c r="I236" s="2">
        <v>301</v>
      </c>
      <c r="J236" s="4">
        <v>9</v>
      </c>
      <c r="K236" s="5" t="s">
        <v>765</v>
      </c>
      <c r="L236" s="5" t="s">
        <v>766</v>
      </c>
    </row>
    <row r="237" spans="1:12" ht="58" x14ac:dyDescent="0.35">
      <c r="A237" s="1" t="s">
        <v>767</v>
      </c>
      <c r="B237" s="2" t="s">
        <v>768</v>
      </c>
      <c r="C237" s="2" t="s">
        <v>20</v>
      </c>
      <c r="D237" s="2" t="s">
        <v>21</v>
      </c>
      <c r="E237" s="3">
        <v>45581</v>
      </c>
      <c r="F237" s="3">
        <v>45582</v>
      </c>
      <c r="G237" s="3">
        <v>45608</v>
      </c>
      <c r="H237" s="3">
        <v>45608</v>
      </c>
      <c r="I237" s="2">
        <v>27</v>
      </c>
      <c r="J237" s="4">
        <v>0</v>
      </c>
      <c r="K237" s="5" t="s">
        <v>769</v>
      </c>
      <c r="L237" s="5" t="s">
        <v>770</v>
      </c>
    </row>
    <row r="238" spans="1:12" ht="217.5" x14ac:dyDescent="0.35">
      <c r="A238" s="1" t="s">
        <v>771</v>
      </c>
      <c r="B238" s="2" t="s">
        <v>772</v>
      </c>
      <c r="C238" s="2" t="s">
        <v>38</v>
      </c>
      <c r="D238" s="2" t="s">
        <v>15</v>
      </c>
      <c r="E238" s="3">
        <v>45581</v>
      </c>
      <c r="F238" s="3">
        <v>45734</v>
      </c>
      <c r="G238" s="3">
        <v>45628</v>
      </c>
      <c r="H238" s="3">
        <v>45628</v>
      </c>
      <c r="I238" s="2">
        <v>47</v>
      </c>
      <c r="J238" s="4">
        <v>0</v>
      </c>
      <c r="K238" s="5" t="s">
        <v>773</v>
      </c>
      <c r="L238" s="5" t="s">
        <v>774</v>
      </c>
    </row>
    <row r="239" spans="1:12" ht="58" x14ac:dyDescent="0.35">
      <c r="A239" s="1" t="s">
        <v>775</v>
      </c>
      <c r="B239" s="2" t="s">
        <v>776</v>
      </c>
      <c r="C239" s="2" t="s">
        <v>151</v>
      </c>
      <c r="D239" s="2" t="s">
        <v>21</v>
      </c>
      <c r="E239" s="3">
        <v>45581</v>
      </c>
      <c r="F239" s="3">
        <v>46128</v>
      </c>
      <c r="G239" s="3">
        <v>45873</v>
      </c>
      <c r="H239" s="3">
        <v>45873</v>
      </c>
      <c r="I239" s="2">
        <v>292</v>
      </c>
      <c r="J239" s="4">
        <v>0</v>
      </c>
      <c r="K239" s="5" t="s">
        <v>777</v>
      </c>
      <c r="L239" s="5" t="s">
        <v>778</v>
      </c>
    </row>
    <row r="240" spans="1:12" ht="87" x14ac:dyDescent="0.35">
      <c r="A240" s="1" t="s">
        <v>779</v>
      </c>
      <c r="B240" s="2" t="s">
        <v>780</v>
      </c>
      <c r="C240" s="2" t="s">
        <v>20</v>
      </c>
      <c r="D240" s="2" t="s">
        <v>21</v>
      </c>
      <c r="E240" s="3">
        <v>45580</v>
      </c>
      <c r="F240" s="3">
        <v>45589</v>
      </c>
      <c r="G240" s="3">
        <v>45604</v>
      </c>
      <c r="H240" s="3">
        <v>45604</v>
      </c>
      <c r="I240" s="2">
        <v>24</v>
      </c>
      <c r="J240" s="4">
        <v>0</v>
      </c>
      <c r="K240" s="5" t="s">
        <v>781</v>
      </c>
      <c r="L240" s="5" t="s">
        <v>243</v>
      </c>
    </row>
    <row r="241" spans="1:12" ht="101.5" x14ac:dyDescent="0.35">
      <c r="A241" s="1" t="s">
        <v>782</v>
      </c>
      <c r="B241" s="2" t="s">
        <v>783</v>
      </c>
      <c r="C241" s="2" t="s">
        <v>20</v>
      </c>
      <c r="D241" s="2" t="s">
        <v>21</v>
      </c>
      <c r="E241" s="3">
        <v>45576</v>
      </c>
      <c r="F241" s="3">
        <v>45680</v>
      </c>
      <c r="G241" s="3">
        <v>45849</v>
      </c>
      <c r="H241" s="3">
        <v>45849</v>
      </c>
      <c r="I241" s="2">
        <v>273</v>
      </c>
      <c r="J241" s="4">
        <v>0</v>
      </c>
      <c r="K241" s="5" t="s">
        <v>456</v>
      </c>
      <c r="L241" s="5" t="s">
        <v>71</v>
      </c>
    </row>
    <row r="242" spans="1:12" ht="87" x14ac:dyDescent="0.35">
      <c r="A242" s="1" t="s">
        <v>784</v>
      </c>
      <c r="B242" s="2" t="s">
        <v>785</v>
      </c>
      <c r="C242" s="2" t="s">
        <v>25</v>
      </c>
      <c r="D242" s="2" t="s">
        <v>21</v>
      </c>
      <c r="E242" s="3">
        <v>45575</v>
      </c>
      <c r="F242" s="3">
        <v>45699</v>
      </c>
      <c r="G242" s="3">
        <v>45706</v>
      </c>
      <c r="H242" s="3">
        <v>45706</v>
      </c>
      <c r="I242" s="2">
        <v>131</v>
      </c>
      <c r="J242" s="4">
        <v>0</v>
      </c>
      <c r="K242" s="5" t="s">
        <v>786</v>
      </c>
      <c r="L242" s="5" t="s">
        <v>108</v>
      </c>
    </row>
    <row r="243" spans="1:12" ht="43.5" x14ac:dyDescent="0.35">
      <c r="A243" s="1" t="s">
        <v>787</v>
      </c>
      <c r="B243" s="2" t="s">
        <v>788</v>
      </c>
      <c r="C243" s="2" t="s">
        <v>20</v>
      </c>
      <c r="D243" s="2" t="s">
        <v>21</v>
      </c>
      <c r="E243" s="3">
        <v>45574</v>
      </c>
      <c r="F243" s="3">
        <v>45712</v>
      </c>
      <c r="G243" s="3">
        <v>45771</v>
      </c>
      <c r="H243" s="3">
        <v>45771</v>
      </c>
      <c r="I243" s="2">
        <v>197</v>
      </c>
      <c r="J243" s="4">
        <v>0</v>
      </c>
      <c r="K243" s="5" t="s">
        <v>70</v>
      </c>
      <c r="L243" s="5" t="s">
        <v>67</v>
      </c>
    </row>
    <row r="244" spans="1:12" ht="43.5" x14ac:dyDescent="0.35">
      <c r="A244" s="1" t="s">
        <v>789</v>
      </c>
      <c r="B244" s="2" t="s">
        <v>790</v>
      </c>
      <c r="C244" s="2" t="s">
        <v>14</v>
      </c>
      <c r="D244" s="2" t="s">
        <v>21</v>
      </c>
      <c r="E244" s="3">
        <v>45574</v>
      </c>
      <c r="F244" s="3">
        <v>45804</v>
      </c>
      <c r="G244" s="3">
        <v>45807</v>
      </c>
      <c r="H244" s="3">
        <v>45807</v>
      </c>
      <c r="I244" s="2">
        <v>233</v>
      </c>
      <c r="J244" s="4">
        <v>0</v>
      </c>
      <c r="K244" s="5" t="s">
        <v>412</v>
      </c>
      <c r="L244" s="5" t="s">
        <v>17</v>
      </c>
    </row>
    <row r="245" spans="1:12" ht="348" x14ac:dyDescent="0.35">
      <c r="A245" s="1" t="s">
        <v>791</v>
      </c>
      <c r="B245" s="2" t="s">
        <v>792</v>
      </c>
      <c r="C245" s="2" t="s">
        <v>38</v>
      </c>
      <c r="D245" s="2" t="s">
        <v>15</v>
      </c>
      <c r="E245" s="3">
        <v>45573</v>
      </c>
      <c r="F245" s="3">
        <v>45597</v>
      </c>
      <c r="G245" s="3">
        <v>45597</v>
      </c>
      <c r="H245" s="3">
        <v>45614</v>
      </c>
      <c r="I245" s="2">
        <v>24</v>
      </c>
      <c r="J245" s="4">
        <v>17</v>
      </c>
      <c r="K245" s="5" t="s">
        <v>793</v>
      </c>
      <c r="L245" s="5" t="s">
        <v>735</v>
      </c>
    </row>
    <row r="246" spans="1:12" ht="101.5" x14ac:dyDescent="0.35">
      <c r="A246" s="1" t="s">
        <v>794</v>
      </c>
      <c r="B246" s="2" t="s">
        <v>795</v>
      </c>
      <c r="C246" s="2" t="s">
        <v>33</v>
      </c>
      <c r="D246" s="2" t="s">
        <v>21</v>
      </c>
      <c r="E246" s="3">
        <v>45571</v>
      </c>
      <c r="F246" s="3">
        <v>45884</v>
      </c>
      <c r="G246" s="3">
        <v>45889</v>
      </c>
      <c r="H246" s="3">
        <v>45889</v>
      </c>
      <c r="I246" s="2">
        <v>318</v>
      </c>
      <c r="J246" s="4">
        <v>0</v>
      </c>
      <c r="K246" s="5" t="s">
        <v>796</v>
      </c>
      <c r="L246" s="5" t="s">
        <v>67</v>
      </c>
    </row>
    <row r="247" spans="1:12" ht="43.5" x14ac:dyDescent="0.35">
      <c r="A247" s="1" t="s">
        <v>797</v>
      </c>
      <c r="B247" s="2" t="s">
        <v>798</v>
      </c>
      <c r="C247" s="2" t="s">
        <v>33</v>
      </c>
      <c r="D247" s="2" t="s">
        <v>21</v>
      </c>
      <c r="E247" s="3">
        <v>45569</v>
      </c>
      <c r="F247" s="3">
        <v>46129</v>
      </c>
      <c r="G247" s="3">
        <v>45692</v>
      </c>
      <c r="H247" s="3">
        <v>45692</v>
      </c>
      <c r="I247" s="2">
        <v>123</v>
      </c>
      <c r="J247" s="4">
        <v>0</v>
      </c>
      <c r="K247" s="5" t="s">
        <v>799</v>
      </c>
      <c r="L247" s="5" t="s">
        <v>67</v>
      </c>
    </row>
    <row r="248" spans="1:12" ht="409.5" x14ac:dyDescent="0.35">
      <c r="A248" s="1" t="s">
        <v>800</v>
      </c>
      <c r="B248" s="2" t="s">
        <v>801</v>
      </c>
      <c r="C248" s="2" t="s">
        <v>20</v>
      </c>
      <c r="D248" s="2" t="s">
        <v>21</v>
      </c>
      <c r="E248" s="3">
        <v>45569</v>
      </c>
      <c r="F248" s="3">
        <v>46133</v>
      </c>
      <c r="G248" s="3">
        <v>45709</v>
      </c>
      <c r="H248" s="3">
        <v>46119</v>
      </c>
      <c r="I248" s="2">
        <v>140</v>
      </c>
      <c r="J248" s="4">
        <v>410</v>
      </c>
      <c r="K248" s="5" t="s">
        <v>802</v>
      </c>
      <c r="L248" s="5" t="s">
        <v>803</v>
      </c>
    </row>
    <row r="249" spans="1:12" ht="72.5" x14ac:dyDescent="0.35">
      <c r="A249" s="1" t="s">
        <v>804</v>
      </c>
      <c r="B249" s="2" t="s">
        <v>805</v>
      </c>
      <c r="C249" s="2" t="s">
        <v>38</v>
      </c>
      <c r="D249" s="2" t="s">
        <v>15</v>
      </c>
      <c r="E249" s="3">
        <v>45567</v>
      </c>
      <c r="F249" s="3">
        <v>46042</v>
      </c>
      <c r="G249" s="3">
        <v>46028</v>
      </c>
      <c r="H249" s="3">
        <v>46048</v>
      </c>
      <c r="I249" s="2">
        <v>461</v>
      </c>
      <c r="J249" s="4">
        <v>20</v>
      </c>
      <c r="K249" s="5" t="s">
        <v>806</v>
      </c>
      <c r="L249" s="5" t="s">
        <v>807</v>
      </c>
    </row>
    <row r="250" spans="1:12" x14ac:dyDescent="0.35">
      <c r="A250" s="1" t="s">
        <v>808</v>
      </c>
      <c r="B250" s="2" t="s">
        <v>809</v>
      </c>
      <c r="C250" s="2" t="s">
        <v>25</v>
      </c>
      <c r="D250" s="2" t="s">
        <v>15</v>
      </c>
      <c r="E250" s="3">
        <v>45566</v>
      </c>
      <c r="F250" s="3">
        <v>45566</v>
      </c>
      <c r="G250" s="3">
        <v>45582</v>
      </c>
      <c r="H250" s="3">
        <v>45582</v>
      </c>
      <c r="I250" s="2">
        <v>16</v>
      </c>
      <c r="J250" s="4">
        <v>0</v>
      </c>
      <c r="K250" s="5" t="s">
        <v>810</v>
      </c>
      <c r="L250" s="5" t="s">
        <v>17</v>
      </c>
    </row>
    <row r="251" spans="1:12" ht="87" x14ac:dyDescent="0.35">
      <c r="A251" s="1" t="s">
        <v>811</v>
      </c>
      <c r="B251" s="2" t="s">
        <v>812</v>
      </c>
      <c r="C251" s="2" t="s">
        <v>20</v>
      </c>
      <c r="D251" s="2" t="s">
        <v>15</v>
      </c>
      <c r="E251" s="3">
        <v>45562</v>
      </c>
      <c r="F251" s="3">
        <v>45562</v>
      </c>
      <c r="G251" s="3">
        <v>45643</v>
      </c>
      <c r="H251" s="3">
        <v>45729</v>
      </c>
      <c r="I251" s="2">
        <v>81</v>
      </c>
      <c r="J251" s="4">
        <v>86</v>
      </c>
      <c r="K251" s="5" t="s">
        <v>813</v>
      </c>
      <c r="L251" s="5" t="s">
        <v>17</v>
      </c>
    </row>
    <row r="252" spans="1:12" ht="409.5" x14ac:dyDescent="0.35">
      <c r="A252" s="1" t="s">
        <v>814</v>
      </c>
      <c r="B252" s="2" t="s">
        <v>815</v>
      </c>
      <c r="C252" s="2" t="s">
        <v>38</v>
      </c>
      <c r="D252" s="2" t="s">
        <v>15</v>
      </c>
      <c r="E252" s="3">
        <v>45561</v>
      </c>
      <c r="F252" s="3">
        <v>45940</v>
      </c>
      <c r="G252" s="3">
        <v>45910</v>
      </c>
      <c r="H252" s="3">
        <v>45947</v>
      </c>
      <c r="I252" s="2">
        <v>349</v>
      </c>
      <c r="J252" s="4">
        <v>37</v>
      </c>
      <c r="K252" s="5" t="s">
        <v>816</v>
      </c>
      <c r="L252" s="5" t="s">
        <v>817</v>
      </c>
    </row>
    <row r="253" spans="1:12" ht="409.5" x14ac:dyDescent="0.35">
      <c r="A253" s="1" t="s">
        <v>818</v>
      </c>
      <c r="B253" s="2" t="s">
        <v>819</v>
      </c>
      <c r="C253" s="2" t="s">
        <v>20</v>
      </c>
      <c r="D253" s="2" t="s">
        <v>15</v>
      </c>
      <c r="E253" s="3">
        <v>45561</v>
      </c>
      <c r="F253" s="3">
        <v>45709</v>
      </c>
      <c r="G253" s="3">
        <v>45573</v>
      </c>
      <c r="H253" s="3">
        <v>45714</v>
      </c>
      <c r="I253" s="2">
        <v>12</v>
      </c>
      <c r="J253" s="4">
        <v>141</v>
      </c>
      <c r="K253" s="5" t="s">
        <v>820</v>
      </c>
      <c r="L253" s="5" t="s">
        <v>668</v>
      </c>
    </row>
    <row r="254" spans="1:12" ht="246.5" x14ac:dyDescent="0.35">
      <c r="A254" s="1" t="s">
        <v>821</v>
      </c>
      <c r="B254" s="2" t="s">
        <v>822</v>
      </c>
      <c r="C254" s="2" t="s">
        <v>284</v>
      </c>
      <c r="D254" s="2" t="s">
        <v>15</v>
      </c>
      <c r="E254" s="3">
        <v>45561</v>
      </c>
      <c r="F254" s="3">
        <v>46073</v>
      </c>
      <c r="G254" s="3">
        <v>45810</v>
      </c>
      <c r="H254" s="3">
        <v>45810</v>
      </c>
      <c r="I254" s="2">
        <v>249</v>
      </c>
      <c r="J254" s="4">
        <v>0</v>
      </c>
      <c r="K254" s="5" t="s">
        <v>823</v>
      </c>
      <c r="L254" s="5" t="s">
        <v>539</v>
      </c>
    </row>
    <row r="255" spans="1:12" ht="87" x14ac:dyDescent="0.35">
      <c r="A255" s="1" t="s">
        <v>824</v>
      </c>
      <c r="B255" s="2" t="s">
        <v>825</v>
      </c>
      <c r="C255" s="2" t="s">
        <v>33</v>
      </c>
      <c r="D255" s="2" t="s">
        <v>15</v>
      </c>
      <c r="E255" s="3">
        <v>45560</v>
      </c>
      <c r="F255" s="3">
        <v>45741</v>
      </c>
      <c r="G255" s="3">
        <v>45758</v>
      </c>
      <c r="H255" s="3">
        <v>45758</v>
      </c>
      <c r="I255" s="2">
        <v>198</v>
      </c>
      <c r="J255" s="4">
        <v>0</v>
      </c>
      <c r="K255" s="5" t="s">
        <v>826</v>
      </c>
      <c r="L255" s="5" t="s">
        <v>827</v>
      </c>
    </row>
    <row r="256" spans="1:12" ht="391.5" x14ac:dyDescent="0.35">
      <c r="A256" s="1" t="s">
        <v>828</v>
      </c>
      <c r="B256" s="2" t="s">
        <v>829</v>
      </c>
      <c r="C256" s="2" t="s">
        <v>14</v>
      </c>
      <c r="D256" s="2" t="s">
        <v>21</v>
      </c>
      <c r="E256" s="3">
        <v>45556</v>
      </c>
      <c r="F256" s="3">
        <v>45943</v>
      </c>
      <c r="G256" s="3">
        <v>46082</v>
      </c>
      <c r="H256" s="3">
        <v>46082</v>
      </c>
      <c r="I256" s="2">
        <v>526</v>
      </c>
      <c r="J256" s="4">
        <v>0</v>
      </c>
      <c r="K256" s="5" t="s">
        <v>830</v>
      </c>
      <c r="L256" s="5" t="s">
        <v>742</v>
      </c>
    </row>
    <row r="257" spans="1:12" x14ac:dyDescent="0.35">
      <c r="A257" s="1" t="s">
        <v>831</v>
      </c>
      <c r="B257" s="2" t="s">
        <v>832</v>
      </c>
      <c r="C257" s="2" t="s">
        <v>33</v>
      </c>
      <c r="D257" s="2" t="s">
        <v>15</v>
      </c>
      <c r="E257" s="3">
        <v>45555</v>
      </c>
      <c r="F257" s="3">
        <v>45555</v>
      </c>
      <c r="G257" s="3">
        <v>45691</v>
      </c>
      <c r="H257" s="3">
        <v>45691</v>
      </c>
      <c r="I257" s="2">
        <v>136</v>
      </c>
      <c r="J257" s="4">
        <v>0</v>
      </c>
      <c r="K257" s="5" t="s">
        <v>49</v>
      </c>
      <c r="L257" s="5" t="s">
        <v>46</v>
      </c>
    </row>
    <row r="258" spans="1:12" ht="87" x14ac:dyDescent="0.35">
      <c r="A258" s="1" t="s">
        <v>833</v>
      </c>
      <c r="B258" s="2" t="s">
        <v>834</v>
      </c>
      <c r="C258" s="2" t="s">
        <v>20</v>
      </c>
      <c r="D258" s="2" t="s">
        <v>21</v>
      </c>
      <c r="E258" s="3">
        <v>45554</v>
      </c>
      <c r="F258" s="3">
        <v>45792</v>
      </c>
      <c r="G258" s="3">
        <v>45854</v>
      </c>
      <c r="H258" s="3">
        <v>45854</v>
      </c>
      <c r="I258" s="2">
        <v>300</v>
      </c>
      <c r="J258" s="4">
        <v>0</v>
      </c>
      <c r="K258" s="5" t="s">
        <v>299</v>
      </c>
      <c r="L258" s="5" t="s">
        <v>835</v>
      </c>
    </row>
    <row r="259" spans="1:12" ht="58" x14ac:dyDescent="0.35">
      <c r="A259" s="1" t="s">
        <v>836</v>
      </c>
      <c r="B259" s="2" t="s">
        <v>837</v>
      </c>
      <c r="C259" s="2" t="s">
        <v>33</v>
      </c>
      <c r="D259" s="2" t="s">
        <v>21</v>
      </c>
      <c r="E259" s="3">
        <v>45553</v>
      </c>
      <c r="F259" s="3">
        <v>45615</v>
      </c>
      <c r="G259" s="3">
        <v>45635</v>
      </c>
      <c r="H259" s="3">
        <v>45755</v>
      </c>
      <c r="I259" s="2">
        <v>82</v>
      </c>
      <c r="J259" s="4">
        <v>120</v>
      </c>
      <c r="K259" s="5" t="s">
        <v>838</v>
      </c>
      <c r="L259" s="5" t="s">
        <v>839</v>
      </c>
    </row>
    <row r="260" spans="1:12" ht="72.5" x14ac:dyDescent="0.35">
      <c r="A260" s="1" t="s">
        <v>840</v>
      </c>
      <c r="B260" s="2" t="s">
        <v>841</v>
      </c>
      <c r="C260" s="2" t="s">
        <v>25</v>
      </c>
      <c r="D260" s="2" t="s">
        <v>15</v>
      </c>
      <c r="E260" s="3">
        <v>45553</v>
      </c>
      <c r="F260" s="3">
        <v>45560</v>
      </c>
      <c r="G260" s="3">
        <v>45589</v>
      </c>
      <c r="H260" s="3">
        <v>45589</v>
      </c>
      <c r="I260" s="2">
        <v>36</v>
      </c>
      <c r="J260" s="4">
        <v>0</v>
      </c>
      <c r="K260" s="5" t="s">
        <v>52</v>
      </c>
      <c r="L260" s="5" t="s">
        <v>664</v>
      </c>
    </row>
    <row r="261" spans="1:12" ht="130.5" x14ac:dyDescent="0.35">
      <c r="A261" s="1" t="s">
        <v>842</v>
      </c>
      <c r="B261" s="2" t="s">
        <v>843</v>
      </c>
      <c r="C261" s="2" t="s">
        <v>20</v>
      </c>
      <c r="D261" s="2" t="s">
        <v>15</v>
      </c>
      <c r="E261" s="3">
        <v>45553</v>
      </c>
      <c r="F261" s="3">
        <v>45561</v>
      </c>
      <c r="G261" s="3">
        <v>45581</v>
      </c>
      <c r="H261" s="3">
        <v>45581</v>
      </c>
      <c r="I261" s="2">
        <v>28</v>
      </c>
      <c r="J261" s="4">
        <v>0</v>
      </c>
      <c r="K261" s="5" t="s">
        <v>844</v>
      </c>
      <c r="L261" s="5" t="s">
        <v>67</v>
      </c>
    </row>
    <row r="262" spans="1:12" ht="29" x14ac:dyDescent="0.35">
      <c r="A262" s="1" t="s">
        <v>845</v>
      </c>
      <c r="B262" s="2" t="s">
        <v>846</v>
      </c>
      <c r="C262" s="2" t="s">
        <v>33</v>
      </c>
      <c r="D262" s="2" t="s">
        <v>21</v>
      </c>
      <c r="E262" s="3">
        <v>45552</v>
      </c>
      <c r="F262" s="3">
        <v>45576</v>
      </c>
      <c r="G262" s="3">
        <v>45588</v>
      </c>
      <c r="H262" s="3">
        <v>45588</v>
      </c>
      <c r="I262" s="2">
        <v>36</v>
      </c>
      <c r="J262" s="4">
        <v>0</v>
      </c>
      <c r="K262" s="5" t="s">
        <v>847</v>
      </c>
      <c r="L262" s="5" t="s">
        <v>35</v>
      </c>
    </row>
    <row r="263" spans="1:12" ht="29" x14ac:dyDescent="0.35">
      <c r="A263" s="1" t="s">
        <v>848</v>
      </c>
      <c r="B263" s="2" t="s">
        <v>849</v>
      </c>
      <c r="C263" s="2" t="s">
        <v>14</v>
      </c>
      <c r="D263" s="2" t="s">
        <v>21</v>
      </c>
      <c r="E263" s="3">
        <v>45549</v>
      </c>
      <c r="F263" s="3">
        <v>45580</v>
      </c>
      <c r="G263" s="3">
        <v>45693</v>
      </c>
      <c r="H263" s="3">
        <v>45693</v>
      </c>
      <c r="I263" s="2">
        <v>144</v>
      </c>
      <c r="J263" s="4">
        <v>0</v>
      </c>
      <c r="K263" s="5" t="s">
        <v>239</v>
      </c>
      <c r="L263" s="5" t="s">
        <v>35</v>
      </c>
    </row>
    <row r="264" spans="1:12" ht="87" x14ac:dyDescent="0.35">
      <c r="A264" s="1" t="s">
        <v>850</v>
      </c>
      <c r="B264" s="2" t="s">
        <v>851</v>
      </c>
      <c r="C264" s="2" t="s">
        <v>33</v>
      </c>
      <c r="D264" s="2" t="s">
        <v>21</v>
      </c>
      <c r="E264" s="3">
        <v>45636</v>
      </c>
      <c r="F264" s="3">
        <v>45733</v>
      </c>
      <c r="G264" s="3">
        <v>45748</v>
      </c>
      <c r="H264" s="3">
        <v>45748</v>
      </c>
      <c r="I264" s="2">
        <v>112</v>
      </c>
      <c r="J264" s="4">
        <v>0</v>
      </c>
      <c r="K264" s="5" t="s">
        <v>852</v>
      </c>
      <c r="L264" s="5" t="s">
        <v>108</v>
      </c>
    </row>
    <row r="265" spans="1:12" ht="72.5" x14ac:dyDescent="0.35">
      <c r="A265" s="1" t="s">
        <v>853</v>
      </c>
      <c r="B265" s="2" t="s">
        <v>854</v>
      </c>
      <c r="C265" s="2" t="s">
        <v>33</v>
      </c>
      <c r="D265" s="2" t="s">
        <v>15</v>
      </c>
      <c r="E265" s="3">
        <v>45546</v>
      </c>
      <c r="F265" s="3">
        <v>45546</v>
      </c>
      <c r="G265" s="3">
        <v>45602</v>
      </c>
      <c r="H265" s="3">
        <v>45610</v>
      </c>
      <c r="I265" s="2">
        <v>56</v>
      </c>
      <c r="J265" s="4">
        <v>8</v>
      </c>
      <c r="K265" s="5" t="s">
        <v>62</v>
      </c>
      <c r="L265" s="5" t="s">
        <v>46</v>
      </c>
    </row>
    <row r="266" spans="1:12" ht="130.5" x14ac:dyDescent="0.35">
      <c r="A266" s="1" t="s">
        <v>855</v>
      </c>
      <c r="B266" s="2" t="s">
        <v>856</v>
      </c>
      <c r="C266" s="2" t="s">
        <v>151</v>
      </c>
      <c r="D266" s="2" t="s">
        <v>15</v>
      </c>
      <c r="E266" s="3">
        <v>45546</v>
      </c>
      <c r="F266" s="3">
        <v>45877</v>
      </c>
      <c r="G266" s="3">
        <v>45916</v>
      </c>
      <c r="H266" s="3">
        <v>45916</v>
      </c>
      <c r="I266" s="2">
        <v>370</v>
      </c>
      <c r="J266" s="4">
        <v>0</v>
      </c>
      <c r="K266" s="5" t="s">
        <v>857</v>
      </c>
      <c r="L266" s="5" t="s">
        <v>401</v>
      </c>
    </row>
    <row r="267" spans="1:12" ht="72.5" x14ac:dyDescent="0.35">
      <c r="A267" s="1" t="s">
        <v>858</v>
      </c>
      <c r="B267" s="2" t="s">
        <v>859</v>
      </c>
      <c r="C267" s="2" t="s">
        <v>25</v>
      </c>
      <c r="D267" s="2" t="s">
        <v>21</v>
      </c>
      <c r="E267" s="3">
        <v>45546</v>
      </c>
      <c r="F267" s="3">
        <v>45561</v>
      </c>
      <c r="G267" s="3">
        <v>45659</v>
      </c>
      <c r="H267" s="3">
        <v>45659</v>
      </c>
      <c r="I267" s="2">
        <v>113</v>
      </c>
      <c r="J267" s="4">
        <v>0</v>
      </c>
      <c r="K267" s="5" t="s">
        <v>111</v>
      </c>
      <c r="L267" s="5" t="s">
        <v>112</v>
      </c>
    </row>
    <row r="268" spans="1:12" x14ac:dyDescent="0.35">
      <c r="A268" s="1" t="s">
        <v>860</v>
      </c>
      <c r="B268" s="2" t="s">
        <v>861</v>
      </c>
      <c r="C268" s="2" t="s">
        <v>38</v>
      </c>
      <c r="D268" s="2" t="s">
        <v>21</v>
      </c>
      <c r="E268" s="3">
        <v>45545</v>
      </c>
      <c r="F268" s="3">
        <v>45545</v>
      </c>
      <c r="G268" s="3">
        <v>45776</v>
      </c>
      <c r="H268" s="3">
        <v>45776</v>
      </c>
      <c r="I268" s="2">
        <v>231</v>
      </c>
      <c r="J268" s="4">
        <v>0</v>
      </c>
      <c r="K268" s="5" t="s">
        <v>191</v>
      </c>
      <c r="L268" s="5" t="s">
        <v>862</v>
      </c>
    </row>
    <row r="269" spans="1:12" ht="261" x14ac:dyDescent="0.35">
      <c r="A269" s="1" t="s">
        <v>863</v>
      </c>
      <c r="B269" s="2" t="s">
        <v>864</v>
      </c>
      <c r="C269" s="2" t="s">
        <v>14</v>
      </c>
      <c r="D269" s="2" t="s">
        <v>15</v>
      </c>
      <c r="E269" s="3">
        <v>45544</v>
      </c>
      <c r="F269" s="3">
        <v>45698</v>
      </c>
      <c r="G269" s="3">
        <v>46055</v>
      </c>
      <c r="H269" s="3">
        <v>46055</v>
      </c>
      <c r="I269" s="2">
        <v>511</v>
      </c>
      <c r="J269" s="4">
        <v>0</v>
      </c>
      <c r="K269" s="5" t="s">
        <v>865</v>
      </c>
      <c r="L269" s="5" t="s">
        <v>866</v>
      </c>
    </row>
    <row r="270" spans="1:12" ht="101.5" x14ac:dyDescent="0.35">
      <c r="A270" s="1" t="s">
        <v>867</v>
      </c>
      <c r="B270" s="2" t="s">
        <v>868</v>
      </c>
      <c r="C270" s="2" t="s">
        <v>20</v>
      </c>
      <c r="D270" s="2" t="s">
        <v>21</v>
      </c>
      <c r="E270" s="3">
        <v>45544</v>
      </c>
      <c r="F270" s="3">
        <v>45763</v>
      </c>
      <c r="G270" s="3">
        <v>45796</v>
      </c>
      <c r="H270" s="3">
        <v>45796</v>
      </c>
      <c r="I270" s="2">
        <v>252</v>
      </c>
      <c r="J270" s="4">
        <v>0</v>
      </c>
      <c r="K270" s="5" t="s">
        <v>218</v>
      </c>
      <c r="L270" s="5" t="s">
        <v>869</v>
      </c>
    </row>
    <row r="271" spans="1:12" ht="217.5" x14ac:dyDescent="0.35">
      <c r="A271" s="1" t="s">
        <v>870</v>
      </c>
      <c r="B271" s="2" t="s">
        <v>871</v>
      </c>
      <c r="C271" s="2" t="s">
        <v>25</v>
      </c>
      <c r="D271" s="2" t="s">
        <v>15</v>
      </c>
      <c r="E271" s="3">
        <v>45541</v>
      </c>
      <c r="F271" s="3">
        <v>45558</v>
      </c>
      <c r="G271" s="3">
        <v>45576</v>
      </c>
      <c r="H271" s="3">
        <v>45576</v>
      </c>
      <c r="I271" s="2">
        <v>35</v>
      </c>
      <c r="J271" s="4">
        <v>0</v>
      </c>
      <c r="K271" s="5" t="s">
        <v>872</v>
      </c>
      <c r="L271" s="5" t="s">
        <v>175</v>
      </c>
    </row>
    <row r="272" spans="1:12" ht="391.5" x14ac:dyDescent="0.35">
      <c r="A272" s="1" t="s">
        <v>873</v>
      </c>
      <c r="B272" s="2" t="s">
        <v>874</v>
      </c>
      <c r="C272" s="2" t="s">
        <v>171</v>
      </c>
      <c r="D272" s="2" t="s">
        <v>15</v>
      </c>
      <c r="E272" s="3">
        <v>45541</v>
      </c>
      <c r="F272" s="3">
        <v>46097</v>
      </c>
      <c r="G272" s="3">
        <v>45615</v>
      </c>
      <c r="H272" s="3">
        <v>45624</v>
      </c>
      <c r="I272" s="2">
        <v>74</v>
      </c>
      <c r="J272" s="4">
        <v>9</v>
      </c>
      <c r="K272" s="5" t="s">
        <v>569</v>
      </c>
      <c r="L272" s="5" t="s">
        <v>875</v>
      </c>
    </row>
    <row r="273" spans="1:12" ht="43.5" x14ac:dyDescent="0.35">
      <c r="A273" s="1" t="s">
        <v>876</v>
      </c>
      <c r="B273" s="2" t="s">
        <v>877</v>
      </c>
      <c r="C273" s="2" t="s">
        <v>20</v>
      </c>
      <c r="D273" s="2" t="s">
        <v>21</v>
      </c>
      <c r="E273" s="3">
        <v>45539</v>
      </c>
      <c r="F273" s="3">
        <v>45615</v>
      </c>
      <c r="G273" s="3">
        <v>45701</v>
      </c>
      <c r="H273" s="3">
        <v>45701</v>
      </c>
      <c r="I273" s="2">
        <v>162</v>
      </c>
      <c r="J273" s="4">
        <v>0</v>
      </c>
      <c r="K273" s="5" t="s">
        <v>878</v>
      </c>
      <c r="L273" s="5" t="s">
        <v>879</v>
      </c>
    </row>
    <row r="274" spans="1:12" ht="43.5" x14ac:dyDescent="0.35">
      <c r="A274" s="1" t="s">
        <v>880</v>
      </c>
      <c r="B274" s="2" t="s">
        <v>881</v>
      </c>
      <c r="C274" s="2" t="s">
        <v>33</v>
      </c>
      <c r="D274" s="2" t="s">
        <v>15</v>
      </c>
      <c r="E274" s="3">
        <v>45540</v>
      </c>
      <c r="F274" s="3">
        <v>45545</v>
      </c>
      <c r="G274" s="3">
        <v>45555</v>
      </c>
      <c r="H274" s="3">
        <v>45555</v>
      </c>
      <c r="I274" s="2">
        <v>15</v>
      </c>
      <c r="J274" s="4">
        <v>0</v>
      </c>
      <c r="K274" s="5" t="s">
        <v>390</v>
      </c>
      <c r="L274" s="5" t="s">
        <v>882</v>
      </c>
    </row>
    <row r="275" spans="1:12" ht="217.5" x14ac:dyDescent="0.35">
      <c r="A275" s="1" t="s">
        <v>883</v>
      </c>
      <c r="B275" s="2" t="s">
        <v>884</v>
      </c>
      <c r="C275" s="2" t="s">
        <v>20</v>
      </c>
      <c r="D275" s="2" t="s">
        <v>21</v>
      </c>
      <c r="E275" s="3">
        <v>45540</v>
      </c>
      <c r="F275" s="3">
        <v>46112</v>
      </c>
      <c r="G275" s="3">
        <v>46063</v>
      </c>
      <c r="H275" s="3">
        <v>46119</v>
      </c>
      <c r="I275" s="2">
        <v>523</v>
      </c>
      <c r="J275" s="4">
        <v>56</v>
      </c>
      <c r="K275" s="5" t="s">
        <v>885</v>
      </c>
      <c r="L275" s="5" t="s">
        <v>886</v>
      </c>
    </row>
    <row r="276" spans="1:12" ht="101.5" x14ac:dyDescent="0.35">
      <c r="A276" s="1" t="s">
        <v>887</v>
      </c>
      <c r="B276" s="2" t="s">
        <v>888</v>
      </c>
      <c r="C276" s="2" t="s">
        <v>25</v>
      </c>
      <c r="D276" s="2" t="s">
        <v>15</v>
      </c>
      <c r="E276" s="3">
        <v>45538</v>
      </c>
      <c r="F276" s="3">
        <v>46008</v>
      </c>
      <c r="G276" s="3">
        <v>45961</v>
      </c>
      <c r="H276" s="3">
        <v>45961</v>
      </c>
      <c r="I276" s="2">
        <v>423</v>
      </c>
      <c r="J276" s="4">
        <v>0</v>
      </c>
      <c r="K276" s="5" t="s">
        <v>889</v>
      </c>
      <c r="L276" s="5" t="s">
        <v>890</v>
      </c>
    </row>
    <row r="277" spans="1:12" ht="159.5" x14ac:dyDescent="0.35">
      <c r="A277" s="1" t="s">
        <v>891</v>
      </c>
      <c r="B277" s="2" t="s">
        <v>892</v>
      </c>
      <c r="C277" s="2" t="s">
        <v>14</v>
      </c>
      <c r="D277" s="2" t="s">
        <v>21</v>
      </c>
      <c r="E277" s="3">
        <v>45540</v>
      </c>
      <c r="F277" s="3">
        <v>45778</v>
      </c>
      <c r="G277" s="3">
        <v>45824</v>
      </c>
      <c r="H277" s="3">
        <v>45824</v>
      </c>
      <c r="I277" s="2">
        <v>284</v>
      </c>
      <c r="J277" s="4">
        <v>0</v>
      </c>
      <c r="K277" s="5" t="s">
        <v>893</v>
      </c>
      <c r="L277" s="5" t="s">
        <v>460</v>
      </c>
    </row>
    <row r="278" spans="1:12" ht="116" x14ac:dyDescent="0.35">
      <c r="A278" s="1" t="s">
        <v>894</v>
      </c>
      <c r="B278" s="2" t="s">
        <v>895</v>
      </c>
      <c r="C278" s="2" t="s">
        <v>38</v>
      </c>
      <c r="D278" s="2" t="s">
        <v>15</v>
      </c>
      <c r="E278" s="3">
        <v>45537</v>
      </c>
      <c r="F278" s="3">
        <v>46101</v>
      </c>
      <c r="G278" s="3">
        <v>45972</v>
      </c>
      <c r="H278" s="3">
        <v>46120</v>
      </c>
      <c r="I278" s="2">
        <v>435</v>
      </c>
      <c r="J278" s="4">
        <v>148</v>
      </c>
      <c r="K278" s="5" t="s">
        <v>806</v>
      </c>
      <c r="L278" s="5" t="s">
        <v>896</v>
      </c>
    </row>
    <row r="279" spans="1:12" ht="29" x14ac:dyDescent="0.35">
      <c r="A279" s="1" t="s">
        <v>897</v>
      </c>
      <c r="B279" s="2" t="s">
        <v>898</v>
      </c>
      <c r="C279" s="2" t="s">
        <v>20</v>
      </c>
      <c r="D279" s="2" t="s">
        <v>15</v>
      </c>
      <c r="E279" s="3">
        <v>45533</v>
      </c>
      <c r="F279" s="3">
        <v>45544</v>
      </c>
      <c r="G279" s="3">
        <v>45548</v>
      </c>
      <c r="H279" s="3">
        <v>45548</v>
      </c>
      <c r="I279" s="2">
        <v>15</v>
      </c>
      <c r="J279" s="4">
        <v>0</v>
      </c>
      <c r="K279" s="5" t="s">
        <v>899</v>
      </c>
      <c r="L279" s="5" t="s">
        <v>63</v>
      </c>
    </row>
    <row r="280" spans="1:12" ht="409.5" x14ac:dyDescent="0.35">
      <c r="A280" s="1" t="s">
        <v>900</v>
      </c>
      <c r="B280" s="2" t="s">
        <v>901</v>
      </c>
      <c r="C280" s="2" t="s">
        <v>20</v>
      </c>
      <c r="D280" s="2" t="s">
        <v>21</v>
      </c>
      <c r="E280" s="3">
        <v>45553</v>
      </c>
      <c r="F280" s="3">
        <v>45848</v>
      </c>
      <c r="G280" s="3">
        <v>45698</v>
      </c>
      <c r="H280" s="3">
        <v>45887</v>
      </c>
      <c r="I280" s="2">
        <v>145</v>
      </c>
      <c r="J280" s="4">
        <v>189</v>
      </c>
      <c r="K280" s="5" t="s">
        <v>902</v>
      </c>
      <c r="L280" s="5" t="s">
        <v>348</v>
      </c>
    </row>
    <row r="281" spans="1:12" ht="101.5" x14ac:dyDescent="0.35">
      <c r="A281" s="1" t="s">
        <v>903</v>
      </c>
      <c r="B281" s="2" t="s">
        <v>904</v>
      </c>
      <c r="C281" s="2" t="s">
        <v>33</v>
      </c>
      <c r="D281" s="2" t="s">
        <v>15</v>
      </c>
      <c r="E281" s="3">
        <v>45532</v>
      </c>
      <c r="F281" s="3">
        <v>45560</v>
      </c>
      <c r="G281" s="3">
        <v>45582</v>
      </c>
      <c r="H281" s="3">
        <v>45582</v>
      </c>
      <c r="I281" s="2">
        <v>50</v>
      </c>
      <c r="J281" s="4">
        <v>0</v>
      </c>
      <c r="K281" s="5" t="s">
        <v>396</v>
      </c>
      <c r="L281" s="5" t="s">
        <v>905</v>
      </c>
    </row>
    <row r="282" spans="1:12" ht="29" x14ac:dyDescent="0.35">
      <c r="A282" s="1" t="s">
        <v>906</v>
      </c>
      <c r="B282" s="2" t="s">
        <v>907</v>
      </c>
      <c r="C282" s="2" t="s">
        <v>33</v>
      </c>
      <c r="D282" s="2" t="s">
        <v>21</v>
      </c>
      <c r="E282" s="3">
        <v>45531</v>
      </c>
      <c r="F282" s="3">
        <v>45531</v>
      </c>
      <c r="G282" s="3">
        <v>45547</v>
      </c>
      <c r="H282" s="3">
        <v>45547</v>
      </c>
      <c r="I282" s="2">
        <v>16</v>
      </c>
      <c r="J282" s="4">
        <v>0</v>
      </c>
      <c r="K282" s="5" t="s">
        <v>908</v>
      </c>
      <c r="L282" s="5" t="s">
        <v>421</v>
      </c>
    </row>
    <row r="283" spans="1:12" ht="188.5" x14ac:dyDescent="0.35">
      <c r="A283" s="1" t="s">
        <v>909</v>
      </c>
      <c r="B283" s="2" t="s">
        <v>910</v>
      </c>
      <c r="C283" s="2" t="s">
        <v>20</v>
      </c>
      <c r="D283" s="2" t="s">
        <v>15</v>
      </c>
      <c r="E283" s="3">
        <v>45531</v>
      </c>
      <c r="F283" s="3">
        <v>45793</v>
      </c>
      <c r="G283" s="3">
        <v>45841</v>
      </c>
      <c r="H283" s="3">
        <v>45841</v>
      </c>
      <c r="I283" s="2">
        <v>310</v>
      </c>
      <c r="J283" s="4">
        <v>0</v>
      </c>
      <c r="K283" s="5" t="s">
        <v>911</v>
      </c>
      <c r="L283" s="5" t="s">
        <v>488</v>
      </c>
    </row>
    <row r="284" spans="1:12" ht="333.5" x14ac:dyDescent="0.35">
      <c r="A284" s="1" t="s">
        <v>912</v>
      </c>
      <c r="B284" s="2" t="s">
        <v>913</v>
      </c>
      <c r="C284" s="2" t="s">
        <v>20</v>
      </c>
      <c r="D284" s="2" t="s">
        <v>21</v>
      </c>
      <c r="E284" s="3">
        <v>45531</v>
      </c>
      <c r="F284" s="3">
        <v>46029</v>
      </c>
      <c r="G284" s="3">
        <v>46085</v>
      </c>
      <c r="H284" s="3">
        <v>46085</v>
      </c>
      <c r="I284" s="2">
        <v>554</v>
      </c>
      <c r="J284" s="4">
        <v>0</v>
      </c>
      <c r="K284" s="5" t="s">
        <v>914</v>
      </c>
      <c r="L284" s="5" t="s">
        <v>915</v>
      </c>
    </row>
    <row r="285" spans="1:12" ht="409.5" x14ac:dyDescent="0.35">
      <c r="A285" s="1" t="s">
        <v>916</v>
      </c>
      <c r="B285" s="2" t="s">
        <v>917</v>
      </c>
      <c r="C285" s="2" t="s">
        <v>33</v>
      </c>
      <c r="D285" s="2" t="s">
        <v>15</v>
      </c>
      <c r="E285" s="3">
        <v>45526</v>
      </c>
      <c r="F285" s="3">
        <v>46121</v>
      </c>
      <c r="G285" s="3">
        <v>45667</v>
      </c>
      <c r="H285" s="3">
        <v>46128</v>
      </c>
      <c r="I285" s="2">
        <v>141</v>
      </c>
      <c r="J285" s="4">
        <v>461</v>
      </c>
      <c r="K285" s="5" t="s">
        <v>918</v>
      </c>
      <c r="L285" s="5" t="s">
        <v>919</v>
      </c>
    </row>
    <row r="286" spans="1:12" ht="58" x14ac:dyDescent="0.35">
      <c r="A286" s="1" t="s">
        <v>920</v>
      </c>
      <c r="B286" s="2" t="s">
        <v>921</v>
      </c>
      <c r="C286" s="2" t="s">
        <v>14</v>
      </c>
      <c r="D286" s="2" t="s">
        <v>15</v>
      </c>
      <c r="E286" s="3">
        <v>45526</v>
      </c>
      <c r="F286" s="3">
        <v>45618</v>
      </c>
      <c r="G286" s="3">
        <v>45637</v>
      </c>
      <c r="H286" s="3">
        <v>45637</v>
      </c>
      <c r="I286" s="2">
        <v>111</v>
      </c>
      <c r="J286" s="4">
        <v>0</v>
      </c>
      <c r="K286" s="5" t="s">
        <v>922</v>
      </c>
      <c r="L286" s="5" t="s">
        <v>35</v>
      </c>
    </row>
    <row r="287" spans="1:12" ht="43.5" x14ac:dyDescent="0.35">
      <c r="A287" s="1" t="s">
        <v>923</v>
      </c>
      <c r="B287" s="2" t="s">
        <v>924</v>
      </c>
      <c r="C287" s="2" t="s">
        <v>20</v>
      </c>
      <c r="D287" s="2" t="s">
        <v>21</v>
      </c>
      <c r="E287" s="3">
        <v>45524</v>
      </c>
      <c r="F287" s="3">
        <v>45526</v>
      </c>
      <c r="G287" s="3">
        <v>45531</v>
      </c>
      <c r="H287" s="3">
        <v>45531</v>
      </c>
      <c r="I287" s="2">
        <v>7</v>
      </c>
      <c r="J287" s="4">
        <v>0</v>
      </c>
      <c r="K287" s="5" t="s">
        <v>925</v>
      </c>
      <c r="L287" s="5" t="s">
        <v>926</v>
      </c>
    </row>
    <row r="288" spans="1:12" ht="87" x14ac:dyDescent="0.35">
      <c r="A288" s="1" t="s">
        <v>927</v>
      </c>
      <c r="B288" s="2" t="s">
        <v>928</v>
      </c>
      <c r="C288" s="2" t="s">
        <v>20</v>
      </c>
      <c r="D288" s="2" t="s">
        <v>15</v>
      </c>
      <c r="E288" s="3">
        <v>45523</v>
      </c>
      <c r="F288" s="3">
        <v>45524</v>
      </c>
      <c r="G288" s="3">
        <v>45540</v>
      </c>
      <c r="H288" s="3">
        <v>45540</v>
      </c>
      <c r="I288" s="2">
        <v>17</v>
      </c>
      <c r="J288" s="4">
        <v>0</v>
      </c>
      <c r="K288" s="5" t="s">
        <v>929</v>
      </c>
      <c r="L288" s="5" t="s">
        <v>35</v>
      </c>
    </row>
    <row r="289" spans="1:12" ht="130.5" x14ac:dyDescent="0.35">
      <c r="A289" s="1" t="s">
        <v>930</v>
      </c>
      <c r="B289" s="2" t="s">
        <v>931</v>
      </c>
      <c r="C289" s="2" t="s">
        <v>25</v>
      </c>
      <c r="D289" s="2" t="s">
        <v>15</v>
      </c>
      <c r="E289" s="3">
        <v>45520</v>
      </c>
      <c r="F289" s="3">
        <v>45545</v>
      </c>
      <c r="G289" s="3">
        <v>45855</v>
      </c>
      <c r="H289" s="3">
        <v>45855</v>
      </c>
      <c r="I289" s="2">
        <v>335</v>
      </c>
      <c r="J289" s="4">
        <v>0</v>
      </c>
      <c r="K289" s="5" t="s">
        <v>781</v>
      </c>
      <c r="L289" s="5" t="s">
        <v>401</v>
      </c>
    </row>
    <row r="290" spans="1:12" ht="101.5" x14ac:dyDescent="0.35">
      <c r="A290" s="1" t="s">
        <v>932</v>
      </c>
      <c r="B290" s="2" t="s">
        <v>933</v>
      </c>
      <c r="C290" s="2" t="s">
        <v>25</v>
      </c>
      <c r="D290" s="2" t="s">
        <v>21</v>
      </c>
      <c r="E290" s="3">
        <v>45520</v>
      </c>
      <c r="F290" s="3">
        <v>45776</v>
      </c>
      <c r="G290" s="3">
        <v>45868</v>
      </c>
      <c r="H290" s="3">
        <v>45868</v>
      </c>
      <c r="I290" s="2">
        <v>348</v>
      </c>
      <c r="J290" s="4">
        <v>0</v>
      </c>
      <c r="K290" s="5" t="s">
        <v>934</v>
      </c>
      <c r="L290" s="5" t="s">
        <v>71</v>
      </c>
    </row>
    <row r="291" spans="1:12" ht="29" x14ac:dyDescent="0.35">
      <c r="A291" s="1" t="s">
        <v>935</v>
      </c>
      <c r="B291" s="2" t="s">
        <v>936</v>
      </c>
      <c r="C291" s="2" t="s">
        <v>38</v>
      </c>
      <c r="D291" s="2" t="s">
        <v>15</v>
      </c>
      <c r="E291" s="3">
        <v>45691</v>
      </c>
      <c r="F291" s="3">
        <v>45691</v>
      </c>
      <c r="G291" s="3">
        <v>45706</v>
      </c>
      <c r="H291" s="3">
        <v>45706</v>
      </c>
      <c r="I291" s="2">
        <v>15</v>
      </c>
      <c r="J291" s="4">
        <v>0</v>
      </c>
      <c r="K291" s="5" t="s">
        <v>937</v>
      </c>
      <c r="L291" s="5" t="s">
        <v>938</v>
      </c>
    </row>
    <row r="292" spans="1:12" ht="87" x14ac:dyDescent="0.35">
      <c r="A292" s="1" t="s">
        <v>939</v>
      </c>
      <c r="B292" s="2" t="s">
        <v>940</v>
      </c>
      <c r="C292" s="2" t="s">
        <v>38</v>
      </c>
      <c r="D292" s="2" t="s">
        <v>21</v>
      </c>
      <c r="E292" s="3">
        <v>45519</v>
      </c>
      <c r="F292" s="3">
        <v>45757</v>
      </c>
      <c r="G292" s="3">
        <v>45744</v>
      </c>
      <c r="H292" s="3">
        <v>45763</v>
      </c>
      <c r="I292" s="2">
        <v>225</v>
      </c>
      <c r="J292" s="4">
        <v>19</v>
      </c>
      <c r="K292" s="5" t="s">
        <v>941</v>
      </c>
      <c r="L292" s="5" t="s">
        <v>219</v>
      </c>
    </row>
    <row r="293" spans="1:12" ht="43.5" x14ac:dyDescent="0.35">
      <c r="A293" s="1" t="s">
        <v>942</v>
      </c>
      <c r="B293" s="2" t="s">
        <v>943</v>
      </c>
      <c r="C293" s="2" t="s">
        <v>38</v>
      </c>
      <c r="D293" s="2" t="s">
        <v>15</v>
      </c>
      <c r="E293" s="3">
        <v>45555</v>
      </c>
      <c r="F293" s="3">
        <v>45555</v>
      </c>
      <c r="G293" s="3">
        <v>45596</v>
      </c>
      <c r="H293" s="3">
        <v>45596</v>
      </c>
      <c r="I293" s="2">
        <v>41</v>
      </c>
      <c r="J293" s="4">
        <v>0</v>
      </c>
      <c r="K293" s="5" t="s">
        <v>39</v>
      </c>
      <c r="L293" s="5" t="s">
        <v>17</v>
      </c>
    </row>
    <row r="294" spans="1:12" ht="130.5" x14ac:dyDescent="0.35">
      <c r="A294" s="1" t="s">
        <v>944</v>
      </c>
      <c r="B294" s="2" t="s">
        <v>945</v>
      </c>
      <c r="C294" s="2" t="s">
        <v>33</v>
      </c>
      <c r="D294" s="2" t="s">
        <v>15</v>
      </c>
      <c r="E294" s="3">
        <v>45518</v>
      </c>
      <c r="F294" s="3">
        <v>45614</v>
      </c>
      <c r="G294" s="3">
        <v>45601</v>
      </c>
      <c r="H294" s="3">
        <v>45637</v>
      </c>
      <c r="I294" s="2">
        <v>83</v>
      </c>
      <c r="J294" s="4">
        <v>36</v>
      </c>
      <c r="K294" s="5" t="s">
        <v>946</v>
      </c>
      <c r="L294" s="5" t="s">
        <v>35</v>
      </c>
    </row>
    <row r="295" spans="1:12" ht="72.5" x14ac:dyDescent="0.35">
      <c r="A295" s="1" t="s">
        <v>947</v>
      </c>
      <c r="B295" s="2" t="s">
        <v>948</v>
      </c>
      <c r="C295" s="2" t="s">
        <v>25</v>
      </c>
      <c r="D295" s="2" t="s">
        <v>21</v>
      </c>
      <c r="E295" s="3">
        <v>45518</v>
      </c>
      <c r="F295" s="3">
        <v>45518</v>
      </c>
      <c r="G295" s="3">
        <v>45537</v>
      </c>
      <c r="H295" s="3">
        <v>45537</v>
      </c>
      <c r="I295" s="2">
        <v>19</v>
      </c>
      <c r="J295" s="4">
        <v>0</v>
      </c>
      <c r="K295" s="5" t="s">
        <v>52</v>
      </c>
      <c r="L295" s="5" t="s">
        <v>115</v>
      </c>
    </row>
    <row r="296" spans="1:12" ht="409.5" x14ac:dyDescent="0.35">
      <c r="A296" s="1" t="s">
        <v>949</v>
      </c>
      <c r="B296" s="2" t="s">
        <v>950</v>
      </c>
      <c r="C296" s="2" t="s">
        <v>20</v>
      </c>
      <c r="D296" s="2" t="s">
        <v>15</v>
      </c>
      <c r="E296" s="3">
        <v>45518</v>
      </c>
      <c r="F296" s="3">
        <v>45993</v>
      </c>
      <c r="G296" s="3">
        <v>45538</v>
      </c>
      <c r="H296" s="3">
        <v>45996</v>
      </c>
      <c r="I296" s="2">
        <v>20</v>
      </c>
      <c r="J296" s="4">
        <v>458</v>
      </c>
      <c r="K296" s="5" t="s">
        <v>951</v>
      </c>
      <c r="L296" s="5" t="s">
        <v>952</v>
      </c>
    </row>
    <row r="297" spans="1:12" ht="43.5" x14ac:dyDescent="0.35">
      <c r="A297" s="1" t="s">
        <v>953</v>
      </c>
      <c r="B297" s="2" t="s">
        <v>954</v>
      </c>
      <c r="C297" s="2" t="s">
        <v>284</v>
      </c>
      <c r="D297" s="2" t="s">
        <v>21</v>
      </c>
      <c r="E297" s="3">
        <v>45517</v>
      </c>
      <c r="F297" s="3">
        <v>45517</v>
      </c>
      <c r="G297" s="3">
        <v>45901</v>
      </c>
      <c r="H297" s="3">
        <v>45901</v>
      </c>
      <c r="I297" s="2">
        <v>384</v>
      </c>
      <c r="J297" s="4">
        <v>0</v>
      </c>
      <c r="K297" s="5" t="s">
        <v>355</v>
      </c>
      <c r="L297" s="5" t="s">
        <v>356</v>
      </c>
    </row>
    <row r="298" spans="1:12" ht="58" x14ac:dyDescent="0.35">
      <c r="A298" s="1" t="s">
        <v>955</v>
      </c>
      <c r="B298" s="2" t="s">
        <v>956</v>
      </c>
      <c r="C298" s="2" t="s">
        <v>20</v>
      </c>
      <c r="D298" s="2" t="s">
        <v>15</v>
      </c>
      <c r="E298" s="3">
        <v>45517</v>
      </c>
      <c r="F298" s="3">
        <v>45596</v>
      </c>
      <c r="G298" s="3">
        <v>45601</v>
      </c>
      <c r="H298" s="3">
        <v>45601</v>
      </c>
      <c r="I298" s="2">
        <v>84</v>
      </c>
      <c r="J298" s="4">
        <v>0</v>
      </c>
      <c r="K298" s="5" t="s">
        <v>957</v>
      </c>
      <c r="L298" s="5" t="s">
        <v>108</v>
      </c>
    </row>
    <row r="299" spans="1:12" ht="43.5" x14ac:dyDescent="0.35">
      <c r="A299" s="1" t="s">
        <v>958</v>
      </c>
      <c r="B299" s="2" t="s">
        <v>959</v>
      </c>
      <c r="C299" s="2" t="s">
        <v>20</v>
      </c>
      <c r="D299" s="2" t="s">
        <v>21</v>
      </c>
      <c r="E299" s="3">
        <v>45513</v>
      </c>
      <c r="F299" s="3">
        <v>45517</v>
      </c>
      <c r="G299" s="3">
        <v>45538</v>
      </c>
      <c r="H299" s="3">
        <v>45538</v>
      </c>
      <c r="I299" s="2">
        <v>25</v>
      </c>
      <c r="J299" s="4">
        <v>0</v>
      </c>
      <c r="K299" s="5" t="s">
        <v>960</v>
      </c>
      <c r="L299" s="5" t="s">
        <v>67</v>
      </c>
    </row>
    <row r="300" spans="1:12" x14ac:dyDescent="0.35">
      <c r="A300" s="1" t="s">
        <v>961</v>
      </c>
      <c r="B300" s="2" t="s">
        <v>962</v>
      </c>
      <c r="C300" s="2" t="s">
        <v>151</v>
      </c>
      <c r="D300" s="2" t="s">
        <v>15</v>
      </c>
      <c r="E300" s="3">
        <v>45512</v>
      </c>
      <c r="F300" s="3">
        <v>45512</v>
      </c>
      <c r="G300" s="3">
        <v>45811</v>
      </c>
      <c r="H300" s="3">
        <v>45811</v>
      </c>
      <c r="I300" s="2">
        <v>299</v>
      </c>
      <c r="J300" s="4">
        <v>0</v>
      </c>
      <c r="K300" s="5" t="s">
        <v>310</v>
      </c>
      <c r="L300" s="5" t="s">
        <v>17</v>
      </c>
    </row>
    <row r="301" spans="1:12" ht="203" x14ac:dyDescent="0.35">
      <c r="A301" s="1" t="s">
        <v>963</v>
      </c>
      <c r="B301" s="2" t="s">
        <v>964</v>
      </c>
      <c r="C301" s="2" t="s">
        <v>38</v>
      </c>
      <c r="D301" s="2" t="s">
        <v>15</v>
      </c>
      <c r="E301" s="3">
        <v>45511</v>
      </c>
      <c r="F301" s="3">
        <v>45691</v>
      </c>
      <c r="G301" s="3">
        <v>45645</v>
      </c>
      <c r="H301" s="3">
        <v>45645</v>
      </c>
      <c r="I301" s="2">
        <v>134</v>
      </c>
      <c r="J301" s="4">
        <v>0</v>
      </c>
      <c r="K301" s="5" t="s">
        <v>965</v>
      </c>
      <c r="L301" s="5" t="s">
        <v>966</v>
      </c>
    </row>
    <row r="302" spans="1:12" ht="58" x14ac:dyDescent="0.35">
      <c r="A302" s="1" t="s">
        <v>967</v>
      </c>
      <c r="B302" s="2" t="s">
        <v>968</v>
      </c>
      <c r="C302" s="2" t="s">
        <v>151</v>
      </c>
      <c r="D302" s="2" t="s">
        <v>15</v>
      </c>
      <c r="E302" s="3">
        <v>45511</v>
      </c>
      <c r="F302" s="3">
        <v>45511</v>
      </c>
      <c r="G302" s="3">
        <v>45635</v>
      </c>
      <c r="H302" s="3">
        <v>45708</v>
      </c>
      <c r="I302" s="2">
        <v>124</v>
      </c>
      <c r="J302" s="4">
        <v>73</v>
      </c>
      <c r="K302" s="5" t="s">
        <v>969</v>
      </c>
      <c r="L302" s="5" t="s">
        <v>35</v>
      </c>
    </row>
    <row r="303" spans="1:12" ht="43.5" x14ac:dyDescent="0.35">
      <c r="A303" s="1" t="s">
        <v>970</v>
      </c>
      <c r="B303" s="2" t="s">
        <v>971</v>
      </c>
      <c r="C303" s="2" t="s">
        <v>33</v>
      </c>
      <c r="D303" s="2" t="s">
        <v>21</v>
      </c>
      <c r="E303" s="3">
        <v>45505</v>
      </c>
      <c r="F303" s="3">
        <v>45505</v>
      </c>
      <c r="G303" s="3">
        <v>45567</v>
      </c>
      <c r="H303" s="3">
        <v>45567</v>
      </c>
      <c r="I303" s="2">
        <v>62</v>
      </c>
      <c r="J303" s="4">
        <v>0</v>
      </c>
      <c r="K303" s="5" t="s">
        <v>972</v>
      </c>
      <c r="L303" s="5" t="s">
        <v>35</v>
      </c>
    </row>
    <row r="304" spans="1:12" ht="87" x14ac:dyDescent="0.35">
      <c r="A304" s="1" t="s">
        <v>973</v>
      </c>
      <c r="B304" s="2" t="s">
        <v>974</v>
      </c>
      <c r="C304" s="2" t="s">
        <v>33</v>
      </c>
      <c r="D304" s="2" t="s">
        <v>15</v>
      </c>
      <c r="E304" s="3">
        <v>45503</v>
      </c>
      <c r="F304" s="3">
        <v>45545</v>
      </c>
      <c r="G304" s="3">
        <v>45562</v>
      </c>
      <c r="H304" s="3">
        <v>45562</v>
      </c>
      <c r="I304" s="2">
        <v>59</v>
      </c>
      <c r="J304" s="4">
        <v>0</v>
      </c>
      <c r="K304" s="5" t="s">
        <v>218</v>
      </c>
      <c r="L304" s="5" t="s">
        <v>219</v>
      </c>
    </row>
    <row r="305" spans="1:12" ht="203" x14ac:dyDescent="0.35">
      <c r="A305" s="1" t="s">
        <v>975</v>
      </c>
      <c r="B305" s="2" t="s">
        <v>976</v>
      </c>
      <c r="C305" s="2" t="s">
        <v>977</v>
      </c>
      <c r="D305" s="2" t="s">
        <v>15</v>
      </c>
      <c r="E305" s="3">
        <v>45504</v>
      </c>
      <c r="F305" s="3">
        <v>45846</v>
      </c>
      <c r="G305" s="3">
        <v>45638</v>
      </c>
      <c r="H305" s="3">
        <v>45716</v>
      </c>
      <c r="I305" s="2">
        <v>134</v>
      </c>
      <c r="J305" s="4">
        <v>78</v>
      </c>
      <c r="K305" s="5" t="s">
        <v>978</v>
      </c>
      <c r="L305" s="5" t="s">
        <v>979</v>
      </c>
    </row>
    <row r="306" spans="1:12" ht="43.5" x14ac:dyDescent="0.35">
      <c r="A306" s="1" t="s">
        <v>980</v>
      </c>
      <c r="B306" s="2" t="s">
        <v>981</v>
      </c>
      <c r="C306" s="2" t="s">
        <v>977</v>
      </c>
      <c r="D306" s="2" t="s">
        <v>21</v>
      </c>
      <c r="E306" s="3">
        <v>45502</v>
      </c>
      <c r="F306" s="3">
        <v>45846</v>
      </c>
      <c r="G306" s="3">
        <v>45644</v>
      </c>
      <c r="H306" s="3">
        <v>45716</v>
      </c>
      <c r="I306" s="2">
        <v>142</v>
      </c>
      <c r="J306" s="4">
        <v>72</v>
      </c>
      <c r="K306" s="5" t="s">
        <v>982</v>
      </c>
      <c r="L306" s="5" t="s">
        <v>983</v>
      </c>
    </row>
    <row r="307" spans="1:12" ht="174" x14ac:dyDescent="0.35">
      <c r="A307" s="1" t="s">
        <v>984</v>
      </c>
      <c r="B307" s="2" t="s">
        <v>985</v>
      </c>
      <c r="C307" s="2" t="s">
        <v>38</v>
      </c>
      <c r="D307" s="2" t="s">
        <v>15</v>
      </c>
      <c r="E307" s="3">
        <v>45502</v>
      </c>
      <c r="F307" s="3">
        <v>45502</v>
      </c>
      <c r="G307" s="3">
        <v>45541</v>
      </c>
      <c r="H307" s="3">
        <v>45541</v>
      </c>
      <c r="I307" s="2">
        <v>39</v>
      </c>
      <c r="J307" s="4">
        <v>0</v>
      </c>
      <c r="K307" s="5" t="s">
        <v>986</v>
      </c>
      <c r="L307" s="5" t="s">
        <v>35</v>
      </c>
    </row>
    <row r="308" spans="1:12" ht="58" x14ac:dyDescent="0.35">
      <c r="A308" s="1" t="s">
        <v>987</v>
      </c>
      <c r="B308" s="2" t="s">
        <v>988</v>
      </c>
      <c r="C308" s="2" t="s">
        <v>20</v>
      </c>
      <c r="D308" s="2" t="s">
        <v>15</v>
      </c>
      <c r="E308" s="3">
        <v>45499</v>
      </c>
      <c r="F308" s="3">
        <v>45742</v>
      </c>
      <c r="G308" s="3">
        <v>45798</v>
      </c>
      <c r="H308" s="3">
        <v>45798</v>
      </c>
      <c r="I308" s="2">
        <v>299</v>
      </c>
      <c r="J308" s="4">
        <v>0</v>
      </c>
      <c r="K308" s="5" t="s">
        <v>281</v>
      </c>
      <c r="L308" s="5" t="s">
        <v>108</v>
      </c>
    </row>
    <row r="309" spans="1:12" x14ac:dyDescent="0.35">
      <c r="A309" s="1" t="s">
        <v>989</v>
      </c>
      <c r="B309" s="2" t="s">
        <v>990</v>
      </c>
      <c r="C309" s="2" t="s">
        <v>33</v>
      </c>
      <c r="D309" s="2" t="s">
        <v>15</v>
      </c>
      <c r="E309" s="3">
        <v>45498</v>
      </c>
      <c r="F309" s="3">
        <v>45498</v>
      </c>
      <c r="G309" s="3">
        <v>45537</v>
      </c>
      <c r="H309" s="3">
        <v>45537</v>
      </c>
      <c r="I309" s="2">
        <v>39</v>
      </c>
      <c r="J309" s="4">
        <v>0</v>
      </c>
      <c r="K309" s="5" t="s">
        <v>991</v>
      </c>
      <c r="L309" s="5" t="s">
        <v>17</v>
      </c>
    </row>
    <row r="310" spans="1:12" ht="116" x14ac:dyDescent="0.35">
      <c r="A310" s="1" t="s">
        <v>992</v>
      </c>
      <c r="B310" s="2" t="s">
        <v>993</v>
      </c>
      <c r="C310" s="2" t="s">
        <v>33</v>
      </c>
      <c r="D310" s="2" t="s">
        <v>15</v>
      </c>
      <c r="E310" s="3">
        <v>45499</v>
      </c>
      <c r="F310" s="3">
        <v>45750</v>
      </c>
      <c r="G310" s="3">
        <v>45722</v>
      </c>
      <c r="H310" s="3">
        <v>45762</v>
      </c>
      <c r="I310" s="2">
        <v>223</v>
      </c>
      <c r="J310" s="4">
        <v>40</v>
      </c>
      <c r="K310" s="5" t="s">
        <v>994</v>
      </c>
      <c r="L310" s="5" t="s">
        <v>995</v>
      </c>
    </row>
    <row r="311" spans="1:12" x14ac:dyDescent="0.35">
      <c r="A311" s="1" t="s">
        <v>996</v>
      </c>
      <c r="B311" s="2" t="s">
        <v>997</v>
      </c>
      <c r="C311" s="2" t="s">
        <v>33</v>
      </c>
      <c r="D311" s="2" t="s">
        <v>21</v>
      </c>
      <c r="E311" s="3">
        <v>45498</v>
      </c>
      <c r="F311" s="3">
        <v>45498</v>
      </c>
      <c r="G311" s="3">
        <v>45555</v>
      </c>
      <c r="H311" s="3">
        <v>45555</v>
      </c>
      <c r="I311" s="2">
        <v>57</v>
      </c>
      <c r="J311" s="4">
        <v>0</v>
      </c>
      <c r="K311" s="5" t="s">
        <v>310</v>
      </c>
      <c r="L311" s="5" t="s">
        <v>17</v>
      </c>
    </row>
    <row r="312" spans="1:12" ht="29" x14ac:dyDescent="0.35">
      <c r="A312" s="1" t="s">
        <v>998</v>
      </c>
      <c r="B312" s="2" t="s">
        <v>999</v>
      </c>
      <c r="C312" s="2" t="s">
        <v>33</v>
      </c>
      <c r="D312" s="2" t="s">
        <v>15</v>
      </c>
      <c r="E312" s="3">
        <v>45498</v>
      </c>
      <c r="F312" s="3">
        <v>45498</v>
      </c>
      <c r="G312" s="3">
        <v>45540</v>
      </c>
      <c r="H312" s="3">
        <v>45540</v>
      </c>
      <c r="I312" s="2">
        <v>42</v>
      </c>
      <c r="J312" s="4">
        <v>0</v>
      </c>
      <c r="K312" s="5" t="s">
        <v>1000</v>
      </c>
      <c r="L312" s="5" t="s">
        <v>17</v>
      </c>
    </row>
    <row r="313" spans="1:12" ht="58" x14ac:dyDescent="0.35">
      <c r="A313" s="1" t="s">
        <v>1001</v>
      </c>
      <c r="B313" s="2" t="s">
        <v>1002</v>
      </c>
      <c r="C313" s="2" t="s">
        <v>20</v>
      </c>
      <c r="D313" s="2" t="s">
        <v>21</v>
      </c>
      <c r="E313" s="3">
        <v>45495</v>
      </c>
      <c r="F313" s="3">
        <v>45517</v>
      </c>
      <c r="G313" s="3">
        <v>45523</v>
      </c>
      <c r="H313" s="3">
        <v>45532</v>
      </c>
      <c r="I313" s="2">
        <v>28</v>
      </c>
      <c r="J313" s="4">
        <v>9</v>
      </c>
      <c r="K313" s="5" t="s">
        <v>1003</v>
      </c>
      <c r="L313" s="5" t="s">
        <v>1004</v>
      </c>
    </row>
    <row r="314" spans="1:12" ht="87" x14ac:dyDescent="0.35">
      <c r="A314" s="1" t="s">
        <v>1005</v>
      </c>
      <c r="B314" s="2" t="s">
        <v>1006</v>
      </c>
      <c r="C314" s="2" t="s">
        <v>20</v>
      </c>
      <c r="D314" s="2" t="s">
        <v>15</v>
      </c>
      <c r="E314" s="3">
        <v>45495</v>
      </c>
      <c r="F314" s="3">
        <v>45525</v>
      </c>
      <c r="G314" s="3">
        <v>45533</v>
      </c>
      <c r="H314" s="3">
        <v>45708</v>
      </c>
      <c r="I314" s="2">
        <v>38</v>
      </c>
      <c r="J314" s="4">
        <v>175</v>
      </c>
      <c r="K314" s="5" t="s">
        <v>89</v>
      </c>
      <c r="L314" s="5" t="s">
        <v>175</v>
      </c>
    </row>
    <row r="315" spans="1:12" ht="29" x14ac:dyDescent="0.35">
      <c r="A315" s="1" t="s">
        <v>1007</v>
      </c>
      <c r="B315" s="2" t="s">
        <v>1008</v>
      </c>
      <c r="C315" s="2" t="s">
        <v>20</v>
      </c>
      <c r="D315" s="2" t="s">
        <v>15</v>
      </c>
      <c r="E315" s="3">
        <v>45492</v>
      </c>
      <c r="F315" s="3">
        <v>45492</v>
      </c>
      <c r="G315" s="3">
        <v>45505</v>
      </c>
      <c r="H315" s="3">
        <v>45505</v>
      </c>
      <c r="I315" s="2">
        <v>13</v>
      </c>
      <c r="J315" s="4">
        <v>0</v>
      </c>
      <c r="K315" s="5" t="s">
        <v>363</v>
      </c>
      <c r="L315" s="5" t="s">
        <v>17</v>
      </c>
    </row>
    <row r="316" spans="1:12" ht="145" x14ac:dyDescent="0.35">
      <c r="A316" s="1" t="s">
        <v>1009</v>
      </c>
      <c r="B316" s="2" t="s">
        <v>1010</v>
      </c>
      <c r="C316" s="2" t="s">
        <v>33</v>
      </c>
      <c r="D316" s="2" t="s">
        <v>21</v>
      </c>
      <c r="E316" s="3">
        <v>45490</v>
      </c>
      <c r="F316" s="3">
        <v>45595</v>
      </c>
      <c r="G316" s="3">
        <v>45616</v>
      </c>
      <c r="H316" s="3">
        <v>45616</v>
      </c>
      <c r="I316" s="2">
        <v>126</v>
      </c>
      <c r="J316" s="4">
        <v>0</v>
      </c>
      <c r="K316" s="5" t="s">
        <v>1011</v>
      </c>
      <c r="L316" s="5" t="s">
        <v>1012</v>
      </c>
    </row>
    <row r="317" spans="1:12" ht="203" x14ac:dyDescent="0.35">
      <c r="A317" s="1" t="s">
        <v>1013</v>
      </c>
      <c r="B317" s="2" t="s">
        <v>1014</v>
      </c>
      <c r="C317" s="2" t="s">
        <v>20</v>
      </c>
      <c r="D317" s="2" t="s">
        <v>15</v>
      </c>
      <c r="E317" s="3">
        <v>45488</v>
      </c>
      <c r="F317" s="3">
        <v>45842</v>
      </c>
      <c r="G317" s="3">
        <v>45642</v>
      </c>
      <c r="H317" s="3">
        <v>45825</v>
      </c>
      <c r="I317" s="2">
        <v>154</v>
      </c>
      <c r="J317" s="4">
        <v>183</v>
      </c>
      <c r="K317" s="5" t="s">
        <v>1015</v>
      </c>
      <c r="L317" s="5" t="s">
        <v>1016</v>
      </c>
    </row>
    <row r="318" spans="1:12" ht="43.5" x14ac:dyDescent="0.35">
      <c r="A318" s="1" t="s">
        <v>1017</v>
      </c>
      <c r="B318" s="2" t="s">
        <v>1018</v>
      </c>
      <c r="C318" s="2" t="s">
        <v>20</v>
      </c>
      <c r="D318" s="2" t="s">
        <v>21</v>
      </c>
      <c r="E318" s="3">
        <v>45488</v>
      </c>
      <c r="F318" s="3">
        <v>45488</v>
      </c>
      <c r="G318" s="3">
        <v>45685</v>
      </c>
      <c r="H318" s="3">
        <v>45685</v>
      </c>
      <c r="I318" s="2">
        <v>197</v>
      </c>
      <c r="J318" s="4">
        <v>0</v>
      </c>
      <c r="K318" s="5" t="s">
        <v>1019</v>
      </c>
      <c r="L318" s="5" t="s">
        <v>356</v>
      </c>
    </row>
    <row r="319" spans="1:12" ht="29" x14ac:dyDescent="0.35">
      <c r="A319" s="1" t="s">
        <v>1020</v>
      </c>
      <c r="B319" s="2" t="s">
        <v>1021</v>
      </c>
      <c r="C319" s="2" t="s">
        <v>25</v>
      </c>
      <c r="D319" s="2" t="s">
        <v>15</v>
      </c>
      <c r="E319" s="3">
        <v>45485</v>
      </c>
      <c r="F319" s="3">
        <v>45485</v>
      </c>
      <c r="G319" s="3">
        <v>45504</v>
      </c>
      <c r="H319" s="3">
        <v>45504</v>
      </c>
      <c r="I319" s="2">
        <v>19</v>
      </c>
      <c r="J319" s="4">
        <v>0</v>
      </c>
      <c r="K319" s="5" t="s">
        <v>1022</v>
      </c>
      <c r="L319" s="5" t="s">
        <v>1023</v>
      </c>
    </row>
    <row r="320" spans="1:12" ht="29" x14ac:dyDescent="0.35">
      <c r="A320" s="1" t="s">
        <v>1024</v>
      </c>
      <c r="B320" s="2" t="s">
        <v>1025</v>
      </c>
      <c r="C320" s="2" t="s">
        <v>20</v>
      </c>
      <c r="D320" s="2" t="s">
        <v>21</v>
      </c>
      <c r="E320" s="3">
        <v>45485</v>
      </c>
      <c r="F320" s="3">
        <v>45559</v>
      </c>
      <c r="G320" s="3">
        <v>45567</v>
      </c>
      <c r="H320" s="3">
        <v>45567</v>
      </c>
      <c r="I320" s="2">
        <v>82</v>
      </c>
      <c r="J320" s="4">
        <v>0</v>
      </c>
      <c r="K320" s="5" t="s">
        <v>239</v>
      </c>
      <c r="L320" s="5" t="s">
        <v>35</v>
      </c>
    </row>
    <row r="321" spans="1:12" x14ac:dyDescent="0.35">
      <c r="A321" s="1" t="s">
        <v>1026</v>
      </c>
      <c r="B321" s="2" t="s">
        <v>1027</v>
      </c>
      <c r="C321" s="2" t="s">
        <v>20</v>
      </c>
      <c r="D321" s="2" t="s">
        <v>21</v>
      </c>
      <c r="E321" s="3">
        <v>45485</v>
      </c>
      <c r="F321" s="3">
        <v>45485</v>
      </c>
      <c r="G321" s="3">
        <v>45600</v>
      </c>
      <c r="H321" s="3">
        <v>45600</v>
      </c>
      <c r="I321" s="2">
        <v>115</v>
      </c>
      <c r="J321" s="4">
        <v>0</v>
      </c>
      <c r="K321" s="5" t="s">
        <v>310</v>
      </c>
      <c r="L321" s="5" t="s">
        <v>1028</v>
      </c>
    </row>
    <row r="322" spans="1:12" x14ac:dyDescent="0.35">
      <c r="A322" s="1" t="s">
        <v>1029</v>
      </c>
      <c r="B322" s="2" t="s">
        <v>1030</v>
      </c>
      <c r="C322" s="2" t="s">
        <v>33</v>
      </c>
      <c r="D322" s="2" t="s">
        <v>15</v>
      </c>
      <c r="E322" s="3">
        <v>45484</v>
      </c>
      <c r="F322" s="3">
        <v>45484</v>
      </c>
      <c r="G322" s="3">
        <v>45644</v>
      </c>
      <c r="H322" s="3">
        <v>45644</v>
      </c>
      <c r="I322" s="2">
        <v>160</v>
      </c>
      <c r="J322" s="4">
        <v>0</v>
      </c>
      <c r="K322" s="5" t="s">
        <v>1031</v>
      </c>
      <c r="L322" s="5" t="s">
        <v>27</v>
      </c>
    </row>
    <row r="323" spans="1:12" x14ac:dyDescent="0.35">
      <c r="A323" s="1" t="s">
        <v>1032</v>
      </c>
      <c r="B323" s="2" t="s">
        <v>1033</v>
      </c>
      <c r="C323" s="2" t="s">
        <v>33</v>
      </c>
      <c r="D323" s="2" t="s">
        <v>15</v>
      </c>
      <c r="E323" s="3">
        <v>45484</v>
      </c>
      <c r="F323" s="3">
        <v>45484</v>
      </c>
      <c r="G323" s="3">
        <v>45523</v>
      </c>
      <c r="H323" s="3">
        <v>45523</v>
      </c>
      <c r="I323" s="2">
        <v>39</v>
      </c>
      <c r="J323" s="4">
        <v>0</v>
      </c>
      <c r="K323" s="5" t="s">
        <v>293</v>
      </c>
      <c r="L323" s="5" t="s">
        <v>17</v>
      </c>
    </row>
    <row r="324" spans="1:12" ht="58" x14ac:dyDescent="0.35">
      <c r="A324" s="1" t="s">
        <v>1034</v>
      </c>
      <c r="B324" s="2" t="s">
        <v>1035</v>
      </c>
      <c r="C324" s="2" t="s">
        <v>20</v>
      </c>
      <c r="D324" s="2" t="s">
        <v>15</v>
      </c>
      <c r="E324" s="3">
        <v>45484</v>
      </c>
      <c r="F324" s="3">
        <v>45538</v>
      </c>
      <c r="G324" s="3">
        <v>45846</v>
      </c>
      <c r="H324" s="3">
        <v>45846</v>
      </c>
      <c r="I324" s="2">
        <v>362</v>
      </c>
      <c r="J324" s="4">
        <v>0</v>
      </c>
      <c r="K324" s="5" t="s">
        <v>107</v>
      </c>
      <c r="L324" s="5" t="s">
        <v>108</v>
      </c>
    </row>
    <row r="325" spans="1:12" ht="145" x14ac:dyDescent="0.35">
      <c r="A325" s="1" t="s">
        <v>1036</v>
      </c>
      <c r="B325" s="2" t="s">
        <v>1037</v>
      </c>
      <c r="C325" s="2" t="s">
        <v>38</v>
      </c>
      <c r="D325" s="2" t="s">
        <v>15</v>
      </c>
      <c r="E325" s="3">
        <v>45481</v>
      </c>
      <c r="F325" s="3">
        <v>45645</v>
      </c>
      <c r="G325" s="3">
        <v>45510</v>
      </c>
      <c r="H325" s="3">
        <v>45510</v>
      </c>
      <c r="I325" s="2">
        <v>29</v>
      </c>
      <c r="J325" s="4">
        <v>0</v>
      </c>
      <c r="K325" s="5" t="s">
        <v>1038</v>
      </c>
      <c r="L325" s="5" t="s">
        <v>735</v>
      </c>
    </row>
    <row r="326" spans="1:12" ht="72.5" x14ac:dyDescent="0.35">
      <c r="A326" s="1" t="s">
        <v>1039</v>
      </c>
      <c r="B326" s="2" t="s">
        <v>1040</v>
      </c>
      <c r="C326" s="2" t="s">
        <v>14</v>
      </c>
      <c r="D326" s="2" t="s">
        <v>15</v>
      </c>
      <c r="E326" s="3">
        <v>45481</v>
      </c>
      <c r="F326" s="3">
        <v>45607</v>
      </c>
      <c r="G326" s="3">
        <v>45608</v>
      </c>
      <c r="H326" s="3">
        <v>45610</v>
      </c>
      <c r="I326" s="2">
        <v>127</v>
      </c>
      <c r="J326" s="4">
        <v>2</v>
      </c>
      <c r="K326" s="5" t="s">
        <v>1041</v>
      </c>
      <c r="L326" s="5" t="s">
        <v>112</v>
      </c>
    </row>
    <row r="327" spans="1:12" ht="29" x14ac:dyDescent="0.35">
      <c r="A327" s="1" t="s">
        <v>1042</v>
      </c>
      <c r="B327" s="2" t="s">
        <v>1043</v>
      </c>
      <c r="C327" s="2" t="s">
        <v>25</v>
      </c>
      <c r="D327" s="2" t="s">
        <v>21</v>
      </c>
      <c r="E327" s="3">
        <v>45481</v>
      </c>
      <c r="F327" s="3">
        <v>45482</v>
      </c>
      <c r="G327" s="3">
        <v>45516</v>
      </c>
      <c r="H327" s="3">
        <v>45516</v>
      </c>
      <c r="I327" s="2">
        <v>35</v>
      </c>
      <c r="J327" s="4">
        <v>0</v>
      </c>
      <c r="K327" s="5" t="s">
        <v>211</v>
      </c>
      <c r="L327" s="5" t="s">
        <v>1044</v>
      </c>
    </row>
    <row r="328" spans="1:12" ht="72.5" x14ac:dyDescent="0.35">
      <c r="A328" s="1" t="s">
        <v>1045</v>
      </c>
      <c r="B328" s="2" t="s">
        <v>1046</v>
      </c>
      <c r="C328" s="2" t="s">
        <v>33</v>
      </c>
      <c r="D328" s="2" t="s">
        <v>15</v>
      </c>
      <c r="E328" s="3">
        <v>45478</v>
      </c>
      <c r="F328" s="3">
        <v>45516</v>
      </c>
      <c r="G328" s="3">
        <v>45628</v>
      </c>
      <c r="H328" s="3">
        <v>45628</v>
      </c>
      <c r="I328" s="2">
        <v>150</v>
      </c>
      <c r="J328" s="4">
        <v>0</v>
      </c>
      <c r="K328" s="5" t="s">
        <v>174</v>
      </c>
      <c r="L328" s="5" t="s">
        <v>175</v>
      </c>
    </row>
    <row r="329" spans="1:12" ht="87" x14ac:dyDescent="0.35">
      <c r="A329" s="1" t="s">
        <v>1047</v>
      </c>
      <c r="B329" s="2" t="s">
        <v>1048</v>
      </c>
      <c r="C329" s="2" t="s">
        <v>33</v>
      </c>
      <c r="D329" s="2" t="s">
        <v>15</v>
      </c>
      <c r="E329" s="3">
        <v>45477</v>
      </c>
      <c r="F329" s="3">
        <v>46079</v>
      </c>
      <c r="G329" s="3">
        <v>46083</v>
      </c>
      <c r="H329" s="3">
        <v>46083</v>
      </c>
      <c r="I329" s="2">
        <v>606</v>
      </c>
      <c r="J329" s="4">
        <v>0</v>
      </c>
      <c r="K329" s="5" t="s">
        <v>1049</v>
      </c>
      <c r="L329" s="5" t="s">
        <v>1050</v>
      </c>
    </row>
    <row r="330" spans="1:12" ht="130.5" x14ac:dyDescent="0.35">
      <c r="A330" s="1" t="s">
        <v>1051</v>
      </c>
      <c r="B330" s="2" t="s">
        <v>1052</v>
      </c>
      <c r="C330" s="2" t="s">
        <v>38</v>
      </c>
      <c r="D330" s="2" t="s">
        <v>15</v>
      </c>
      <c r="E330" s="3">
        <v>45477</v>
      </c>
      <c r="F330" s="3">
        <v>45477</v>
      </c>
      <c r="G330" s="3">
        <v>45491</v>
      </c>
      <c r="H330" s="3">
        <v>45538</v>
      </c>
      <c r="I330" s="2">
        <v>14</v>
      </c>
      <c r="J330" s="4">
        <v>47</v>
      </c>
      <c r="K330" s="5" t="s">
        <v>844</v>
      </c>
      <c r="L330" s="5" t="s">
        <v>17</v>
      </c>
    </row>
    <row r="331" spans="1:12" ht="72.5" x14ac:dyDescent="0.35">
      <c r="A331" s="1" t="s">
        <v>1053</v>
      </c>
      <c r="B331" s="2" t="s">
        <v>1054</v>
      </c>
      <c r="C331" s="2" t="s">
        <v>137</v>
      </c>
      <c r="D331" s="2" t="s">
        <v>21</v>
      </c>
      <c r="E331" s="3">
        <v>45475</v>
      </c>
      <c r="F331" s="3">
        <v>45589</v>
      </c>
      <c r="G331" s="3">
        <v>45603</v>
      </c>
      <c r="H331" s="3">
        <v>45603</v>
      </c>
      <c r="I331" s="2">
        <v>128</v>
      </c>
      <c r="J331" s="4">
        <v>0</v>
      </c>
      <c r="K331" s="5" t="s">
        <v>738</v>
      </c>
      <c r="L331" s="5" t="s">
        <v>112</v>
      </c>
    </row>
    <row r="332" spans="1:12" ht="174" x14ac:dyDescent="0.35">
      <c r="A332" s="1" t="s">
        <v>1055</v>
      </c>
      <c r="B332" s="2" t="s">
        <v>1056</v>
      </c>
      <c r="C332" s="2" t="s">
        <v>20</v>
      </c>
      <c r="D332" s="2" t="s">
        <v>21</v>
      </c>
      <c r="E332" s="3">
        <v>45474</v>
      </c>
      <c r="F332" s="3">
        <v>46106</v>
      </c>
      <c r="G332" s="3">
        <v>45932</v>
      </c>
      <c r="H332" s="3">
        <v>46120</v>
      </c>
      <c r="I332" s="2">
        <v>458</v>
      </c>
      <c r="J332" s="4">
        <v>188</v>
      </c>
      <c r="K332" s="5" t="s">
        <v>235</v>
      </c>
      <c r="L332" s="5" t="s">
        <v>817</v>
      </c>
    </row>
    <row r="333" spans="1:12" ht="130.5" x14ac:dyDescent="0.35">
      <c r="A333" s="1" t="s">
        <v>1057</v>
      </c>
      <c r="B333" s="2" t="s">
        <v>1058</v>
      </c>
      <c r="C333" s="2" t="s">
        <v>20</v>
      </c>
      <c r="D333" s="2" t="s">
        <v>21</v>
      </c>
      <c r="E333" s="3">
        <v>45474</v>
      </c>
      <c r="F333" s="3">
        <v>45477</v>
      </c>
      <c r="G333" s="3">
        <v>45551</v>
      </c>
      <c r="H333" s="3">
        <v>45551</v>
      </c>
      <c r="I333" s="2">
        <v>77</v>
      </c>
      <c r="J333" s="4">
        <v>0</v>
      </c>
      <c r="K333" s="5" t="s">
        <v>844</v>
      </c>
      <c r="L333" s="5" t="s">
        <v>67</v>
      </c>
    </row>
    <row r="334" spans="1:12" x14ac:dyDescent="0.35">
      <c r="A334" s="1" t="s">
        <v>1059</v>
      </c>
      <c r="B334" s="2" t="s">
        <v>1060</v>
      </c>
      <c r="C334" s="2" t="s">
        <v>14</v>
      </c>
      <c r="D334" s="2" t="s">
        <v>15</v>
      </c>
      <c r="E334" s="3">
        <v>45474</v>
      </c>
      <c r="F334" s="3">
        <v>45474</v>
      </c>
      <c r="G334" s="3">
        <v>45488</v>
      </c>
      <c r="H334" s="3">
        <v>45488</v>
      </c>
      <c r="I334" s="2">
        <v>14</v>
      </c>
      <c r="J334" s="4">
        <v>0</v>
      </c>
      <c r="K334" s="5" t="s">
        <v>49</v>
      </c>
      <c r="L334" s="5" t="s">
        <v>17</v>
      </c>
    </row>
    <row r="335" spans="1:12" x14ac:dyDescent="0.35">
      <c r="A335" s="1" t="s">
        <v>1061</v>
      </c>
      <c r="B335" s="2" t="s">
        <v>1062</v>
      </c>
      <c r="C335" s="2" t="s">
        <v>14</v>
      </c>
      <c r="D335" s="2" t="s">
        <v>15</v>
      </c>
      <c r="E335" s="3">
        <v>45474</v>
      </c>
      <c r="F335" s="3">
        <v>45474</v>
      </c>
      <c r="G335" s="3">
        <v>45573</v>
      </c>
      <c r="H335" s="3">
        <v>45573</v>
      </c>
      <c r="I335" s="2">
        <v>99</v>
      </c>
      <c r="J335" s="4">
        <v>0</v>
      </c>
      <c r="K335" s="6" t="s">
        <v>701</v>
      </c>
      <c r="L335" s="5" t="s">
        <v>17</v>
      </c>
    </row>
    <row r="336" spans="1:12" ht="145" x14ac:dyDescent="0.35">
      <c r="A336" s="1" t="s">
        <v>1063</v>
      </c>
      <c r="B336" s="2" t="s">
        <v>1064</v>
      </c>
      <c r="C336" s="2" t="s">
        <v>33</v>
      </c>
      <c r="D336" s="2" t="s">
        <v>15</v>
      </c>
      <c r="E336" s="3">
        <v>45471</v>
      </c>
      <c r="F336" s="3">
        <v>45918</v>
      </c>
      <c r="G336" s="3">
        <v>45817</v>
      </c>
      <c r="H336" s="3">
        <v>45946</v>
      </c>
      <c r="I336" s="2">
        <v>346</v>
      </c>
      <c r="J336" s="4">
        <v>129</v>
      </c>
      <c r="K336" s="5" t="s">
        <v>338</v>
      </c>
      <c r="L336" s="5" t="s">
        <v>1065</v>
      </c>
    </row>
    <row r="337" spans="1:12" ht="29" x14ac:dyDescent="0.35">
      <c r="A337" s="1" t="s">
        <v>1066</v>
      </c>
      <c r="B337" s="2" t="s">
        <v>1067</v>
      </c>
      <c r="C337" s="2" t="s">
        <v>33</v>
      </c>
      <c r="D337" s="2" t="s">
        <v>15</v>
      </c>
      <c r="E337" s="3">
        <v>45470</v>
      </c>
      <c r="F337" s="3">
        <v>45477</v>
      </c>
      <c r="G337" s="3">
        <v>45498</v>
      </c>
      <c r="H337" s="3">
        <v>45498</v>
      </c>
      <c r="I337" s="2">
        <v>28</v>
      </c>
      <c r="J337" s="4">
        <v>0</v>
      </c>
      <c r="K337" s="5" t="s">
        <v>246</v>
      </c>
      <c r="L337" s="5" t="s">
        <v>63</v>
      </c>
    </row>
    <row r="338" spans="1:12" ht="29" x14ac:dyDescent="0.35">
      <c r="A338" s="1" t="s">
        <v>1068</v>
      </c>
      <c r="B338" s="2" t="s">
        <v>1069</v>
      </c>
      <c r="C338" s="2" t="s">
        <v>20</v>
      </c>
      <c r="D338" s="2" t="s">
        <v>15</v>
      </c>
      <c r="E338" s="3">
        <v>45470</v>
      </c>
      <c r="F338" s="3">
        <v>45539</v>
      </c>
      <c r="G338" s="3">
        <v>45559</v>
      </c>
      <c r="H338" s="3">
        <v>45559</v>
      </c>
      <c r="I338" s="2">
        <v>89</v>
      </c>
      <c r="J338" s="4">
        <v>0</v>
      </c>
      <c r="K338" s="5" t="s">
        <v>239</v>
      </c>
      <c r="L338" s="5" t="s">
        <v>35</v>
      </c>
    </row>
    <row r="339" spans="1:12" ht="159.5" x14ac:dyDescent="0.35">
      <c r="A339" s="1" t="s">
        <v>1070</v>
      </c>
      <c r="B339" s="2" t="s">
        <v>1071</v>
      </c>
      <c r="C339" s="2" t="s">
        <v>38</v>
      </c>
      <c r="D339" s="2" t="s">
        <v>21</v>
      </c>
      <c r="E339" s="3">
        <v>45468</v>
      </c>
      <c r="F339" s="3">
        <v>45646</v>
      </c>
      <c r="G339" s="3">
        <v>45670</v>
      </c>
      <c r="H339" s="3">
        <v>45670</v>
      </c>
      <c r="I339" s="2">
        <v>202</v>
      </c>
      <c r="J339" s="4">
        <v>0</v>
      </c>
      <c r="K339" s="5" t="s">
        <v>1072</v>
      </c>
      <c r="L339" s="5" t="s">
        <v>1073</v>
      </c>
    </row>
    <row r="340" spans="1:12" ht="43.5" x14ac:dyDescent="0.35">
      <c r="A340" s="1" t="s">
        <v>1074</v>
      </c>
      <c r="B340" s="2" t="s">
        <v>1075</v>
      </c>
      <c r="C340" s="2" t="s">
        <v>38</v>
      </c>
      <c r="D340" s="2" t="s">
        <v>15</v>
      </c>
      <c r="E340" s="3">
        <v>45467</v>
      </c>
      <c r="F340" s="3">
        <v>45881</v>
      </c>
      <c r="G340" s="3">
        <v>45608</v>
      </c>
      <c r="H340" s="3">
        <v>45678</v>
      </c>
      <c r="I340" s="2">
        <v>141</v>
      </c>
      <c r="J340" s="4">
        <v>70</v>
      </c>
      <c r="K340" s="5" t="s">
        <v>1076</v>
      </c>
      <c r="L340" s="5" t="s">
        <v>566</v>
      </c>
    </row>
    <row r="341" spans="1:12" ht="43.5" x14ac:dyDescent="0.35">
      <c r="A341" s="1" t="s">
        <v>1077</v>
      </c>
      <c r="B341" s="2" t="s">
        <v>1078</v>
      </c>
      <c r="C341" s="2" t="s">
        <v>33</v>
      </c>
      <c r="D341" s="2" t="s">
        <v>21</v>
      </c>
      <c r="E341" s="3">
        <v>45467</v>
      </c>
      <c r="F341" s="3">
        <v>45784</v>
      </c>
      <c r="G341" s="3">
        <v>45790</v>
      </c>
      <c r="H341" s="3">
        <v>45790</v>
      </c>
      <c r="I341" s="2">
        <v>323</v>
      </c>
      <c r="J341" s="4">
        <v>0</v>
      </c>
      <c r="K341" s="5" t="s">
        <v>634</v>
      </c>
      <c r="L341" s="5" t="s">
        <v>122</v>
      </c>
    </row>
    <row r="342" spans="1:12" ht="29" x14ac:dyDescent="0.35">
      <c r="A342" s="1" t="s">
        <v>1079</v>
      </c>
      <c r="B342" s="2" t="s">
        <v>1080</v>
      </c>
      <c r="C342" s="2" t="s">
        <v>20</v>
      </c>
      <c r="D342" s="2" t="s">
        <v>21</v>
      </c>
      <c r="E342" s="3">
        <v>45465</v>
      </c>
      <c r="F342" s="3">
        <v>45474</v>
      </c>
      <c r="G342" s="3">
        <v>45488</v>
      </c>
      <c r="H342" s="3">
        <v>45488</v>
      </c>
      <c r="I342" s="2">
        <v>23</v>
      </c>
      <c r="J342" s="4">
        <v>0</v>
      </c>
      <c r="K342" s="5" t="s">
        <v>239</v>
      </c>
      <c r="L342" s="5" t="s">
        <v>1081</v>
      </c>
    </row>
    <row r="343" spans="1:12" ht="43.5" x14ac:dyDescent="0.35">
      <c r="A343" s="1" t="s">
        <v>1082</v>
      </c>
      <c r="B343" s="2" t="s">
        <v>1083</v>
      </c>
      <c r="C343" s="2" t="s">
        <v>33</v>
      </c>
      <c r="D343" s="2" t="s">
        <v>15</v>
      </c>
      <c r="E343" s="3">
        <v>45464</v>
      </c>
      <c r="F343" s="3">
        <v>45478</v>
      </c>
      <c r="G343" s="3">
        <v>45488</v>
      </c>
      <c r="H343" s="3">
        <v>45488</v>
      </c>
      <c r="I343" s="2">
        <v>24</v>
      </c>
      <c r="J343" s="4">
        <v>0</v>
      </c>
      <c r="K343" s="5" t="s">
        <v>634</v>
      </c>
      <c r="L343" s="5" t="s">
        <v>122</v>
      </c>
    </row>
    <row r="344" spans="1:12" ht="217.5" x14ac:dyDescent="0.35">
      <c r="A344" s="1" t="s">
        <v>1084</v>
      </c>
      <c r="B344" s="2" t="s">
        <v>1085</v>
      </c>
      <c r="C344" s="2" t="s">
        <v>38</v>
      </c>
      <c r="D344" s="2" t="s">
        <v>15</v>
      </c>
      <c r="E344" s="3">
        <v>45464</v>
      </c>
      <c r="F344" s="3">
        <v>45483</v>
      </c>
      <c r="G344" s="3">
        <v>45520</v>
      </c>
      <c r="H344" s="3">
        <v>45520</v>
      </c>
      <c r="I344" s="2">
        <v>56</v>
      </c>
      <c r="J344" s="4">
        <v>0</v>
      </c>
      <c r="K344" s="5" t="s">
        <v>872</v>
      </c>
      <c r="L344" s="5" t="s">
        <v>175</v>
      </c>
    </row>
    <row r="345" spans="1:12" ht="159.5" x14ac:dyDescent="0.35">
      <c r="A345" s="1" t="s">
        <v>1086</v>
      </c>
      <c r="B345" s="2" t="s">
        <v>1087</v>
      </c>
      <c r="C345" s="2" t="s">
        <v>25</v>
      </c>
      <c r="D345" s="2" t="s">
        <v>21</v>
      </c>
      <c r="E345" s="3">
        <v>45462</v>
      </c>
      <c r="F345" s="3">
        <v>46002</v>
      </c>
      <c r="G345" s="3">
        <v>46063</v>
      </c>
      <c r="H345" s="3">
        <v>46063</v>
      </c>
      <c r="I345" s="2">
        <v>601</v>
      </c>
      <c r="J345" s="4">
        <v>0</v>
      </c>
      <c r="K345" s="5" t="s">
        <v>1088</v>
      </c>
      <c r="L345" s="5" t="s">
        <v>1089</v>
      </c>
    </row>
    <row r="346" spans="1:12" ht="72.5" x14ac:dyDescent="0.35">
      <c r="A346" s="1" t="s">
        <v>1090</v>
      </c>
      <c r="B346" s="2" t="s">
        <v>1091</v>
      </c>
      <c r="C346" s="2" t="s">
        <v>33</v>
      </c>
      <c r="D346" s="2" t="s">
        <v>21</v>
      </c>
      <c r="E346" s="3">
        <v>45461</v>
      </c>
      <c r="F346" s="3">
        <v>45750</v>
      </c>
      <c r="G346" s="3">
        <v>45776</v>
      </c>
      <c r="H346" s="3">
        <v>45776</v>
      </c>
      <c r="I346" s="2">
        <v>315</v>
      </c>
      <c r="J346" s="4">
        <v>0</v>
      </c>
      <c r="K346" s="5" t="s">
        <v>1092</v>
      </c>
      <c r="L346" s="5" t="s">
        <v>108</v>
      </c>
    </row>
    <row r="347" spans="1:12" ht="43.5" x14ac:dyDescent="0.35">
      <c r="A347" s="1" t="s">
        <v>1093</v>
      </c>
      <c r="B347" s="2" t="s">
        <v>1094</v>
      </c>
      <c r="C347" s="2" t="s">
        <v>20</v>
      </c>
      <c r="D347" s="2" t="s">
        <v>21</v>
      </c>
      <c r="E347" s="3">
        <v>45891</v>
      </c>
      <c r="F347" s="3">
        <v>45902</v>
      </c>
      <c r="G347" s="3">
        <v>45497</v>
      </c>
      <c r="H347" s="3">
        <v>45939</v>
      </c>
      <c r="I347" s="2">
        <v>-394</v>
      </c>
      <c r="J347" s="4">
        <v>442</v>
      </c>
      <c r="K347" s="5" t="s">
        <v>1095</v>
      </c>
      <c r="L347" s="5" t="s">
        <v>35</v>
      </c>
    </row>
    <row r="348" spans="1:12" ht="188.5" x14ac:dyDescent="0.35">
      <c r="A348" s="1" t="s">
        <v>1096</v>
      </c>
      <c r="B348" s="2" t="s">
        <v>1097</v>
      </c>
      <c r="C348" s="2" t="s">
        <v>20</v>
      </c>
      <c r="D348" s="2" t="s">
        <v>15</v>
      </c>
      <c r="E348" s="3">
        <v>45457</v>
      </c>
      <c r="F348" s="3">
        <v>45610</v>
      </c>
      <c r="G348" s="3">
        <v>45631</v>
      </c>
      <c r="H348" s="3">
        <v>45671</v>
      </c>
      <c r="I348" s="2">
        <v>174</v>
      </c>
      <c r="J348" s="4">
        <v>40</v>
      </c>
      <c r="K348" s="5" t="s">
        <v>1098</v>
      </c>
      <c r="L348" s="5" t="s">
        <v>1099</v>
      </c>
    </row>
    <row r="349" spans="1:12" ht="304.5" x14ac:dyDescent="0.35">
      <c r="A349" s="1" t="s">
        <v>1100</v>
      </c>
      <c r="B349" s="2" t="s">
        <v>1101</v>
      </c>
      <c r="C349" s="2" t="s">
        <v>20</v>
      </c>
      <c r="D349" s="2" t="s">
        <v>21</v>
      </c>
      <c r="E349" s="3">
        <v>45457</v>
      </c>
      <c r="F349" s="3">
        <v>45737</v>
      </c>
      <c r="G349" s="3">
        <v>45671</v>
      </c>
      <c r="H349" s="3">
        <v>45769</v>
      </c>
      <c r="I349" s="2">
        <v>214</v>
      </c>
      <c r="J349" s="4">
        <v>98</v>
      </c>
      <c r="K349" s="5" t="s">
        <v>1102</v>
      </c>
      <c r="L349" s="5" t="s">
        <v>1103</v>
      </c>
    </row>
    <row r="350" spans="1:12" ht="130.5" x14ac:dyDescent="0.35">
      <c r="A350" s="1" t="s">
        <v>1104</v>
      </c>
      <c r="B350" s="2" t="s">
        <v>1105</v>
      </c>
      <c r="C350" s="2" t="s">
        <v>20</v>
      </c>
      <c r="D350" s="2" t="s">
        <v>15</v>
      </c>
      <c r="E350" s="3">
        <v>45456</v>
      </c>
      <c r="F350" s="3">
        <v>46062</v>
      </c>
      <c r="G350" s="3">
        <v>45981</v>
      </c>
      <c r="H350" s="3">
        <v>46052</v>
      </c>
      <c r="I350" s="2">
        <v>525</v>
      </c>
      <c r="J350" s="4">
        <v>71</v>
      </c>
      <c r="K350" s="5" t="s">
        <v>946</v>
      </c>
      <c r="L350" s="5" t="s">
        <v>1106</v>
      </c>
    </row>
    <row r="351" spans="1:12" ht="29" x14ac:dyDescent="0.35">
      <c r="A351" s="1" t="s">
        <v>1107</v>
      </c>
      <c r="B351" s="2" t="s">
        <v>1108</v>
      </c>
      <c r="C351" s="2" t="s">
        <v>20</v>
      </c>
      <c r="D351" s="2" t="s">
        <v>21</v>
      </c>
      <c r="E351" s="3">
        <v>45573</v>
      </c>
      <c r="F351" s="3">
        <v>45573</v>
      </c>
      <c r="G351" s="3">
        <v>45597</v>
      </c>
      <c r="H351" s="3">
        <v>45597</v>
      </c>
      <c r="I351" s="2">
        <v>24</v>
      </c>
      <c r="J351" s="4">
        <v>0</v>
      </c>
      <c r="K351" s="5" t="s">
        <v>1109</v>
      </c>
      <c r="L351" s="5" t="s">
        <v>17</v>
      </c>
    </row>
    <row r="352" spans="1:12" ht="29" x14ac:dyDescent="0.35">
      <c r="A352" s="1" t="s">
        <v>1110</v>
      </c>
      <c r="B352" s="2" t="s">
        <v>1111</v>
      </c>
      <c r="C352" s="2" t="s">
        <v>20</v>
      </c>
      <c r="D352" s="2" t="s">
        <v>21</v>
      </c>
      <c r="E352" s="3">
        <v>45454</v>
      </c>
      <c r="F352" s="3">
        <v>45456</v>
      </c>
      <c r="G352" s="3">
        <v>45488</v>
      </c>
      <c r="H352" s="3">
        <v>45488</v>
      </c>
      <c r="I352" s="2">
        <v>34</v>
      </c>
      <c r="J352" s="4">
        <v>0</v>
      </c>
      <c r="K352" s="5" t="s">
        <v>239</v>
      </c>
      <c r="L352" s="5" t="s">
        <v>35</v>
      </c>
    </row>
    <row r="353" spans="1:12" ht="29" x14ac:dyDescent="0.35">
      <c r="A353" s="1" t="s">
        <v>1112</v>
      </c>
      <c r="B353" s="2" t="s">
        <v>1113</v>
      </c>
      <c r="C353" s="2" t="s">
        <v>20</v>
      </c>
      <c r="D353" s="2" t="s">
        <v>21</v>
      </c>
      <c r="E353" s="7"/>
      <c r="F353" s="7"/>
      <c r="G353" s="3">
        <v>45468</v>
      </c>
      <c r="H353" s="3">
        <v>45468</v>
      </c>
      <c r="I353" t="s">
        <v>701</v>
      </c>
      <c r="J353" s="4">
        <v>0</v>
      </c>
      <c r="K353" s="5" t="s">
        <v>1114</v>
      </c>
      <c r="L353" s="5" t="s">
        <v>1028</v>
      </c>
    </row>
    <row r="354" spans="1:12" ht="43.5" x14ac:dyDescent="0.35">
      <c r="A354" s="1" t="s">
        <v>1115</v>
      </c>
      <c r="B354" s="2" t="s">
        <v>1116</v>
      </c>
      <c r="C354" s="2" t="s">
        <v>171</v>
      </c>
      <c r="D354" s="2" t="s">
        <v>15</v>
      </c>
      <c r="E354" s="3">
        <v>45453</v>
      </c>
      <c r="F354" s="3">
        <v>45453</v>
      </c>
      <c r="G354" s="3">
        <v>45573</v>
      </c>
      <c r="H354" s="3">
        <v>45597</v>
      </c>
      <c r="I354" s="2">
        <v>120</v>
      </c>
      <c r="J354" s="4">
        <v>24</v>
      </c>
      <c r="K354" s="5" t="s">
        <v>70</v>
      </c>
      <c r="L354" s="5" t="s">
        <v>17</v>
      </c>
    </row>
    <row r="355" spans="1:12" ht="217.5" x14ac:dyDescent="0.35">
      <c r="A355" s="1" t="s">
        <v>1117</v>
      </c>
      <c r="B355" s="2" t="s">
        <v>1118</v>
      </c>
      <c r="C355" s="2" t="s">
        <v>20</v>
      </c>
      <c r="D355" s="2" t="s">
        <v>21</v>
      </c>
      <c r="E355" s="3">
        <v>45450</v>
      </c>
      <c r="F355" s="3">
        <v>46101</v>
      </c>
      <c r="G355" s="3">
        <v>45505</v>
      </c>
      <c r="H355" s="3">
        <v>45537</v>
      </c>
      <c r="I355" s="2">
        <v>55</v>
      </c>
      <c r="J355" s="4">
        <v>32</v>
      </c>
      <c r="K355" s="5" t="s">
        <v>1119</v>
      </c>
      <c r="L355" s="5" t="s">
        <v>774</v>
      </c>
    </row>
    <row r="356" spans="1:12" x14ac:dyDescent="0.35">
      <c r="A356" s="1" t="s">
        <v>1120</v>
      </c>
      <c r="B356" s="2" t="s">
        <v>1121</v>
      </c>
      <c r="C356" s="2" t="s">
        <v>20</v>
      </c>
      <c r="D356" s="2" t="s">
        <v>21</v>
      </c>
      <c r="E356" s="3">
        <v>45449</v>
      </c>
      <c r="F356" s="3">
        <v>45449</v>
      </c>
      <c r="G356" s="3">
        <v>45824</v>
      </c>
      <c r="H356" s="3">
        <v>45824</v>
      </c>
      <c r="I356" s="2">
        <v>375</v>
      </c>
      <c r="J356" s="4">
        <v>0</v>
      </c>
      <c r="K356" s="5" t="s">
        <v>310</v>
      </c>
      <c r="L356" s="5" t="s">
        <v>17</v>
      </c>
    </row>
    <row r="357" spans="1:12" ht="101.5" x14ac:dyDescent="0.35">
      <c r="A357" s="1" t="s">
        <v>1122</v>
      </c>
      <c r="B357" s="2" t="s">
        <v>1123</v>
      </c>
      <c r="C357" s="2" t="s">
        <v>14</v>
      </c>
      <c r="D357" s="2" t="s">
        <v>21</v>
      </c>
      <c r="E357" s="3">
        <v>45449</v>
      </c>
      <c r="F357" s="3">
        <v>45621</v>
      </c>
      <c r="G357" s="3">
        <v>45789</v>
      </c>
      <c r="H357" s="3">
        <v>45789</v>
      </c>
      <c r="I357" s="2">
        <v>340</v>
      </c>
      <c r="J357" s="4">
        <v>0</v>
      </c>
      <c r="K357" s="5" t="s">
        <v>1124</v>
      </c>
      <c r="L357" s="5" t="s">
        <v>1125</v>
      </c>
    </row>
    <row r="358" spans="1:12" ht="362.5" x14ac:dyDescent="0.35">
      <c r="A358" s="1" t="s">
        <v>1126</v>
      </c>
      <c r="B358" s="2" t="s">
        <v>1127</v>
      </c>
      <c r="C358" s="2" t="s">
        <v>20</v>
      </c>
      <c r="D358" s="2" t="s">
        <v>21</v>
      </c>
      <c r="E358" s="3">
        <v>45450</v>
      </c>
      <c r="F358" s="3">
        <v>45862</v>
      </c>
      <c r="G358" s="3">
        <v>45806</v>
      </c>
      <c r="H358" s="3">
        <v>45867</v>
      </c>
      <c r="I358" s="2">
        <v>356</v>
      </c>
      <c r="J358" s="4">
        <v>61</v>
      </c>
      <c r="K358" s="5" t="s">
        <v>1128</v>
      </c>
      <c r="L358" s="5" t="s">
        <v>658</v>
      </c>
    </row>
    <row r="359" spans="1:12" ht="246.5" x14ac:dyDescent="0.35">
      <c r="A359" s="1" t="s">
        <v>1129</v>
      </c>
      <c r="B359" s="2" t="s">
        <v>1130</v>
      </c>
      <c r="C359" s="2" t="s">
        <v>20</v>
      </c>
      <c r="D359" s="2" t="s">
        <v>21</v>
      </c>
      <c r="E359" s="3">
        <v>45448</v>
      </c>
      <c r="F359" s="3">
        <v>46077</v>
      </c>
      <c r="G359" s="3">
        <v>46097</v>
      </c>
      <c r="H359" s="3">
        <v>46097</v>
      </c>
      <c r="I359" s="2">
        <v>649</v>
      </c>
      <c r="J359" s="4">
        <v>0</v>
      </c>
      <c r="K359" s="5" t="s">
        <v>1131</v>
      </c>
      <c r="L359" s="5" t="s">
        <v>1132</v>
      </c>
    </row>
    <row r="360" spans="1:12" ht="72.5" x14ac:dyDescent="0.35">
      <c r="A360" s="1" t="s">
        <v>1133</v>
      </c>
      <c r="B360" s="2" t="s">
        <v>1134</v>
      </c>
      <c r="C360" s="2" t="s">
        <v>20</v>
      </c>
      <c r="D360" s="2" t="s">
        <v>21</v>
      </c>
      <c r="E360" s="3">
        <v>45448</v>
      </c>
      <c r="F360" s="3">
        <v>45450</v>
      </c>
      <c r="G360" s="3">
        <v>45617</v>
      </c>
      <c r="H360" s="3">
        <v>45617</v>
      </c>
      <c r="I360" s="2">
        <v>169</v>
      </c>
      <c r="J360" s="4">
        <v>0</v>
      </c>
      <c r="K360" s="5" t="s">
        <v>111</v>
      </c>
      <c r="L360" s="5" t="s">
        <v>112</v>
      </c>
    </row>
    <row r="361" spans="1:12" ht="101.5" x14ac:dyDescent="0.35">
      <c r="A361" s="1" t="s">
        <v>1135</v>
      </c>
      <c r="B361" s="2" t="s">
        <v>1136</v>
      </c>
      <c r="C361" s="2" t="s">
        <v>20</v>
      </c>
      <c r="D361" s="2" t="s">
        <v>21</v>
      </c>
      <c r="E361" s="3">
        <v>45447</v>
      </c>
      <c r="F361" s="3">
        <v>45485</v>
      </c>
      <c r="G361" s="3">
        <v>45517</v>
      </c>
      <c r="H361" s="3">
        <v>45518</v>
      </c>
      <c r="I361" s="2">
        <v>70</v>
      </c>
      <c r="J361" s="4">
        <v>1</v>
      </c>
      <c r="K361" s="5" t="s">
        <v>1137</v>
      </c>
      <c r="L361" s="5" t="s">
        <v>1138</v>
      </c>
    </row>
    <row r="362" spans="1:12" ht="58" x14ac:dyDescent="0.35">
      <c r="A362" s="1" t="s">
        <v>1139</v>
      </c>
      <c r="B362" s="2" t="s">
        <v>1140</v>
      </c>
      <c r="C362" s="2" t="s">
        <v>38</v>
      </c>
      <c r="D362" s="2" t="s">
        <v>15</v>
      </c>
      <c r="E362" s="3">
        <v>45447</v>
      </c>
      <c r="F362" s="3">
        <v>45448</v>
      </c>
      <c r="G362" s="3">
        <v>45481</v>
      </c>
      <c r="H362" s="3">
        <v>45496</v>
      </c>
      <c r="I362" s="2">
        <v>34</v>
      </c>
      <c r="J362" s="4">
        <v>15</v>
      </c>
      <c r="K362" s="5" t="s">
        <v>1141</v>
      </c>
      <c r="L362" s="5" t="s">
        <v>1142</v>
      </c>
    </row>
    <row r="363" spans="1:12" ht="29" x14ac:dyDescent="0.35">
      <c r="A363" s="1" t="s">
        <v>1143</v>
      </c>
      <c r="B363" s="2" t="s">
        <v>1144</v>
      </c>
      <c r="C363" s="2" t="s">
        <v>33</v>
      </c>
      <c r="D363" s="2" t="s">
        <v>15</v>
      </c>
      <c r="E363" s="3">
        <v>45447</v>
      </c>
      <c r="F363" s="3">
        <v>45457</v>
      </c>
      <c r="G363" s="3">
        <v>45495</v>
      </c>
      <c r="H363" s="3">
        <v>45495</v>
      </c>
      <c r="I363" s="2">
        <v>48</v>
      </c>
      <c r="J363" s="4">
        <v>0</v>
      </c>
      <c r="K363" s="5" t="s">
        <v>1145</v>
      </c>
      <c r="L363" s="5" t="s">
        <v>35</v>
      </c>
    </row>
    <row r="364" spans="1:12" x14ac:dyDescent="0.35">
      <c r="A364" s="1" t="s">
        <v>1146</v>
      </c>
      <c r="B364" s="2" t="s">
        <v>1147</v>
      </c>
      <c r="C364" s="2" t="s">
        <v>20</v>
      </c>
      <c r="D364" s="2" t="s">
        <v>15</v>
      </c>
      <c r="E364" s="3">
        <v>45446</v>
      </c>
      <c r="F364" s="3">
        <v>45446</v>
      </c>
      <c r="G364" s="3">
        <v>45449</v>
      </c>
      <c r="H364" s="3">
        <v>45449</v>
      </c>
      <c r="I364" s="2">
        <v>3</v>
      </c>
      <c r="J364" s="4">
        <v>0</v>
      </c>
      <c r="K364" s="5" t="s">
        <v>1148</v>
      </c>
      <c r="L364" s="5" t="s">
        <v>17</v>
      </c>
    </row>
    <row r="365" spans="1:12" ht="72.5" x14ac:dyDescent="0.35">
      <c r="A365" s="1" t="s">
        <v>1149</v>
      </c>
      <c r="B365" s="2" t="s">
        <v>1150</v>
      </c>
      <c r="C365" s="2" t="s">
        <v>38</v>
      </c>
      <c r="D365" s="2" t="s">
        <v>15</v>
      </c>
      <c r="E365" s="3">
        <v>45446</v>
      </c>
      <c r="F365" s="3">
        <v>45623</v>
      </c>
      <c r="G365" s="3">
        <v>45499</v>
      </c>
      <c r="H365" s="3">
        <v>45691</v>
      </c>
      <c r="I365" s="2">
        <v>53</v>
      </c>
      <c r="J365" s="4">
        <v>192</v>
      </c>
      <c r="K365" s="5" t="s">
        <v>111</v>
      </c>
      <c r="L365" s="5" t="s">
        <v>112</v>
      </c>
    </row>
    <row r="366" spans="1:12" ht="145" x14ac:dyDescent="0.35">
      <c r="A366" s="1" t="s">
        <v>1151</v>
      </c>
      <c r="B366" s="2" t="s">
        <v>1152</v>
      </c>
      <c r="C366" s="2" t="s">
        <v>25</v>
      </c>
      <c r="D366" s="2" t="s">
        <v>15</v>
      </c>
      <c r="E366" s="3">
        <v>45443</v>
      </c>
      <c r="F366" s="3">
        <v>45488</v>
      </c>
      <c r="G366" s="3">
        <v>45505</v>
      </c>
      <c r="H366" s="3">
        <v>45505</v>
      </c>
      <c r="I366" s="2">
        <v>62</v>
      </c>
      <c r="J366" s="4">
        <v>0</v>
      </c>
      <c r="K366" s="5" t="s">
        <v>1153</v>
      </c>
      <c r="L366" s="5" t="s">
        <v>1154</v>
      </c>
    </row>
    <row r="367" spans="1:12" ht="43.5" x14ac:dyDescent="0.35">
      <c r="A367" s="1" t="s">
        <v>1155</v>
      </c>
      <c r="B367" s="2" t="s">
        <v>1156</v>
      </c>
      <c r="C367" s="2" t="s">
        <v>977</v>
      </c>
      <c r="D367" s="2" t="s">
        <v>15</v>
      </c>
      <c r="E367" s="3">
        <v>45443</v>
      </c>
      <c r="F367" s="3">
        <v>45443</v>
      </c>
      <c r="G367" s="3">
        <v>45499</v>
      </c>
      <c r="H367" s="3">
        <v>45692</v>
      </c>
      <c r="I367" s="2">
        <v>56</v>
      </c>
      <c r="J367" s="4">
        <v>193</v>
      </c>
      <c r="K367" s="5" t="s">
        <v>1157</v>
      </c>
      <c r="L367" s="5" t="s">
        <v>356</v>
      </c>
    </row>
    <row r="368" spans="1:12" ht="130.5" x14ac:dyDescent="0.35">
      <c r="A368" s="1" t="s">
        <v>1158</v>
      </c>
      <c r="B368" s="2" t="s">
        <v>1159</v>
      </c>
      <c r="C368" s="2" t="s">
        <v>20</v>
      </c>
      <c r="D368" s="2" t="s">
        <v>21</v>
      </c>
      <c r="E368" s="3">
        <v>45442</v>
      </c>
      <c r="F368" s="3">
        <v>45806</v>
      </c>
      <c r="G368" s="3">
        <v>45849</v>
      </c>
      <c r="H368" s="3">
        <v>45849</v>
      </c>
      <c r="I368" s="2">
        <v>407</v>
      </c>
      <c r="J368" s="4">
        <v>0</v>
      </c>
      <c r="K368" s="5" t="s">
        <v>400</v>
      </c>
      <c r="L368" s="5" t="s">
        <v>401</v>
      </c>
    </row>
    <row r="369" spans="1:12" ht="409.5" x14ac:dyDescent="0.35">
      <c r="A369" s="1" t="s">
        <v>1160</v>
      </c>
      <c r="B369" s="2" t="s">
        <v>1161</v>
      </c>
      <c r="C369" s="2" t="s">
        <v>20</v>
      </c>
      <c r="D369" s="2" t="s">
        <v>21</v>
      </c>
      <c r="E369" s="3">
        <v>45441</v>
      </c>
      <c r="F369" s="3">
        <v>46070</v>
      </c>
      <c r="G369" s="3">
        <v>46083</v>
      </c>
      <c r="H369" s="3">
        <v>46126</v>
      </c>
      <c r="I369" s="2">
        <v>642</v>
      </c>
      <c r="J369" s="4">
        <v>43</v>
      </c>
      <c r="K369" s="5" t="s">
        <v>1162</v>
      </c>
      <c r="L369" s="5" t="s">
        <v>1163</v>
      </c>
    </row>
    <row r="370" spans="1:12" x14ac:dyDescent="0.35">
      <c r="A370" s="1" t="s">
        <v>1164</v>
      </c>
      <c r="B370" s="2" t="s">
        <v>1165</v>
      </c>
      <c r="C370" s="2" t="s">
        <v>38</v>
      </c>
      <c r="D370" s="2" t="s">
        <v>15</v>
      </c>
      <c r="E370" s="3">
        <v>45442</v>
      </c>
      <c r="F370" s="3">
        <v>45442</v>
      </c>
      <c r="G370" s="3">
        <v>45509</v>
      </c>
      <c r="H370" s="3">
        <v>45509</v>
      </c>
      <c r="I370" s="2">
        <v>67</v>
      </c>
      <c r="J370" s="4">
        <v>0</v>
      </c>
      <c r="K370" s="5" t="s">
        <v>191</v>
      </c>
      <c r="L370" s="5" t="s">
        <v>46</v>
      </c>
    </row>
    <row r="371" spans="1:12" ht="43.5" x14ac:dyDescent="0.35">
      <c r="A371" s="1" t="s">
        <v>1166</v>
      </c>
      <c r="B371" s="2" t="s">
        <v>1167</v>
      </c>
      <c r="C371" s="2" t="s">
        <v>38</v>
      </c>
      <c r="D371" s="2" t="s">
        <v>15</v>
      </c>
      <c r="E371" s="3">
        <v>45442</v>
      </c>
      <c r="F371" s="3">
        <v>45442</v>
      </c>
      <c r="G371" s="3">
        <v>45462</v>
      </c>
      <c r="H371" s="3">
        <v>45545</v>
      </c>
      <c r="I371" s="2">
        <v>20</v>
      </c>
      <c r="J371" s="4">
        <v>83</v>
      </c>
      <c r="K371" s="6" t="s">
        <v>701</v>
      </c>
      <c r="L371" s="5" t="s">
        <v>926</v>
      </c>
    </row>
    <row r="372" spans="1:12" ht="174" x14ac:dyDescent="0.35">
      <c r="A372" s="1" t="s">
        <v>1168</v>
      </c>
      <c r="B372" s="2" t="s">
        <v>1169</v>
      </c>
      <c r="C372" s="2" t="s">
        <v>25</v>
      </c>
      <c r="D372" s="2" t="s">
        <v>21</v>
      </c>
      <c r="E372" s="3">
        <v>45440</v>
      </c>
      <c r="F372" s="3">
        <v>45454</v>
      </c>
      <c r="G372" s="3">
        <v>45489</v>
      </c>
      <c r="H372" s="3">
        <v>45489</v>
      </c>
      <c r="I372" s="2">
        <v>49</v>
      </c>
      <c r="J372" s="4">
        <v>0</v>
      </c>
      <c r="K372" s="5" t="s">
        <v>1170</v>
      </c>
      <c r="L372" s="5" t="s">
        <v>807</v>
      </c>
    </row>
    <row r="373" spans="1:12" ht="145" x14ac:dyDescent="0.35">
      <c r="A373" s="1" t="s">
        <v>1171</v>
      </c>
      <c r="B373" s="2" t="s">
        <v>1172</v>
      </c>
      <c r="C373" s="2" t="s">
        <v>20</v>
      </c>
      <c r="D373" s="2" t="s">
        <v>15</v>
      </c>
      <c r="E373" s="3">
        <v>45440</v>
      </c>
      <c r="F373" s="3">
        <v>45453</v>
      </c>
      <c r="G373" s="3">
        <v>45478</v>
      </c>
      <c r="H373" s="3">
        <v>45478</v>
      </c>
      <c r="I373" s="2">
        <v>38</v>
      </c>
      <c r="J373" s="4">
        <v>0</v>
      </c>
      <c r="K373" s="5" t="s">
        <v>1141</v>
      </c>
      <c r="L373" s="5" t="s">
        <v>1173</v>
      </c>
    </row>
    <row r="374" spans="1:12" ht="58" x14ac:dyDescent="0.35">
      <c r="A374" s="1" t="s">
        <v>1174</v>
      </c>
      <c r="B374" s="2" t="s">
        <v>1175</v>
      </c>
      <c r="C374" s="2" t="s">
        <v>25</v>
      </c>
      <c r="D374" s="2" t="s">
        <v>21</v>
      </c>
      <c r="E374" s="3">
        <v>45435</v>
      </c>
      <c r="F374" s="3">
        <v>45450</v>
      </c>
      <c r="G374" s="3">
        <v>45464</v>
      </c>
      <c r="H374" s="3">
        <v>45464</v>
      </c>
      <c r="I374" s="2">
        <v>29</v>
      </c>
      <c r="J374" s="4">
        <v>0</v>
      </c>
      <c r="K374" s="5" t="s">
        <v>107</v>
      </c>
      <c r="L374" s="5" t="s">
        <v>108</v>
      </c>
    </row>
    <row r="375" spans="1:12" ht="43.5" x14ac:dyDescent="0.35">
      <c r="A375" s="1" t="s">
        <v>1176</v>
      </c>
      <c r="B375" s="2" t="s">
        <v>1177</v>
      </c>
      <c r="C375" s="2" t="s">
        <v>20</v>
      </c>
      <c r="D375" s="2" t="s">
        <v>15</v>
      </c>
      <c r="E375" s="3">
        <v>45434</v>
      </c>
      <c r="F375" s="3">
        <v>45509</v>
      </c>
      <c r="G375" s="3">
        <v>45462</v>
      </c>
      <c r="H375" s="3">
        <v>45462</v>
      </c>
      <c r="I375" s="2">
        <v>28</v>
      </c>
      <c r="J375" s="4">
        <v>0</v>
      </c>
      <c r="K375" s="5" t="s">
        <v>1178</v>
      </c>
      <c r="L375" s="5" t="s">
        <v>807</v>
      </c>
    </row>
    <row r="376" spans="1:12" ht="145" x14ac:dyDescent="0.35">
      <c r="A376" s="1" t="s">
        <v>1179</v>
      </c>
      <c r="B376" s="2" t="s">
        <v>1180</v>
      </c>
      <c r="C376" s="2" t="s">
        <v>20</v>
      </c>
      <c r="D376" s="2" t="s">
        <v>21</v>
      </c>
      <c r="E376" s="3">
        <v>45433</v>
      </c>
      <c r="F376" s="3">
        <v>45775</v>
      </c>
      <c r="G376" s="3">
        <v>45554</v>
      </c>
      <c r="H376" s="3">
        <v>45554</v>
      </c>
      <c r="I376" s="2">
        <v>121</v>
      </c>
      <c r="J376" s="4">
        <v>0</v>
      </c>
      <c r="K376" s="5" t="s">
        <v>463</v>
      </c>
      <c r="L376" s="5" t="s">
        <v>1181</v>
      </c>
    </row>
    <row r="377" spans="1:12" ht="58" x14ac:dyDescent="0.35">
      <c r="A377" s="1" t="s">
        <v>1182</v>
      </c>
      <c r="B377" s="2" t="s">
        <v>1183</v>
      </c>
      <c r="C377" s="2" t="s">
        <v>33</v>
      </c>
      <c r="D377" s="2" t="s">
        <v>21</v>
      </c>
      <c r="E377" s="3">
        <v>45432</v>
      </c>
      <c r="F377" s="3">
        <v>45561</v>
      </c>
      <c r="G377" s="3">
        <v>45582</v>
      </c>
      <c r="H377" s="3">
        <v>45582</v>
      </c>
      <c r="I377" s="2">
        <v>150</v>
      </c>
      <c r="J377" s="4">
        <v>0</v>
      </c>
      <c r="K377" s="5" t="s">
        <v>1184</v>
      </c>
      <c r="L377" s="5" t="s">
        <v>1185</v>
      </c>
    </row>
    <row r="378" spans="1:12" ht="391.5" x14ac:dyDescent="0.35">
      <c r="A378" s="1" t="s">
        <v>1186</v>
      </c>
      <c r="B378" s="2" t="s">
        <v>1187</v>
      </c>
      <c r="C378" s="2" t="s">
        <v>187</v>
      </c>
      <c r="D378" s="2" t="s">
        <v>21</v>
      </c>
      <c r="E378" s="3">
        <v>45432</v>
      </c>
      <c r="F378" s="3">
        <v>45884</v>
      </c>
      <c r="G378" s="3">
        <v>45537</v>
      </c>
      <c r="H378" s="3">
        <v>45918</v>
      </c>
      <c r="I378" s="2">
        <v>105</v>
      </c>
      <c r="J378" s="4">
        <v>381</v>
      </c>
      <c r="K378" s="5" t="s">
        <v>1188</v>
      </c>
      <c r="L378" s="5" t="s">
        <v>742</v>
      </c>
    </row>
    <row r="379" spans="1:12" ht="246.5" x14ac:dyDescent="0.35">
      <c r="A379" s="1" t="s">
        <v>1189</v>
      </c>
      <c r="B379" s="2" t="s">
        <v>1190</v>
      </c>
      <c r="C379" s="2" t="s">
        <v>14</v>
      </c>
      <c r="D379" s="2" t="s">
        <v>21</v>
      </c>
      <c r="E379" s="3">
        <v>45433</v>
      </c>
      <c r="F379" s="3">
        <v>45663</v>
      </c>
      <c r="G379" s="3">
        <v>45689</v>
      </c>
      <c r="H379" s="3">
        <v>45717</v>
      </c>
      <c r="I379" s="2">
        <v>256</v>
      </c>
      <c r="J379" s="4">
        <v>28</v>
      </c>
      <c r="K379" s="5" t="s">
        <v>1191</v>
      </c>
      <c r="L379" s="5" t="s">
        <v>539</v>
      </c>
    </row>
    <row r="380" spans="1:12" ht="203" x14ac:dyDescent="0.35">
      <c r="A380" s="1" t="s">
        <v>1192</v>
      </c>
      <c r="B380" s="2" t="s">
        <v>1193</v>
      </c>
      <c r="C380" s="2" t="s">
        <v>137</v>
      </c>
      <c r="D380" s="2" t="s">
        <v>21</v>
      </c>
      <c r="E380" s="3">
        <v>45429</v>
      </c>
      <c r="F380" s="3">
        <v>45517</v>
      </c>
      <c r="G380" s="3">
        <v>45546</v>
      </c>
      <c r="H380" s="3">
        <v>45546</v>
      </c>
      <c r="I380" s="2">
        <v>117</v>
      </c>
      <c r="J380" s="4">
        <v>0</v>
      </c>
      <c r="K380" s="5" t="s">
        <v>1194</v>
      </c>
      <c r="L380" s="5" t="s">
        <v>488</v>
      </c>
    </row>
    <row r="381" spans="1:12" ht="409.5" x14ac:dyDescent="0.35">
      <c r="A381" s="1" t="s">
        <v>1195</v>
      </c>
      <c r="B381" s="2" t="s">
        <v>1196</v>
      </c>
      <c r="C381" s="2" t="s">
        <v>284</v>
      </c>
      <c r="D381" s="2" t="s">
        <v>21</v>
      </c>
      <c r="E381" s="3">
        <v>45432</v>
      </c>
      <c r="F381" s="3">
        <v>45911</v>
      </c>
      <c r="G381" s="3">
        <v>45778</v>
      </c>
      <c r="H381" s="3">
        <v>45962</v>
      </c>
      <c r="I381" s="2">
        <v>346</v>
      </c>
      <c r="J381" s="4">
        <v>184</v>
      </c>
      <c r="K381" s="5" t="s">
        <v>1197</v>
      </c>
      <c r="L381" s="5" t="s">
        <v>254</v>
      </c>
    </row>
    <row r="382" spans="1:12" ht="29" x14ac:dyDescent="0.35">
      <c r="A382" s="1" t="s">
        <v>1198</v>
      </c>
      <c r="B382" s="2" t="s">
        <v>1199</v>
      </c>
      <c r="C382" s="2" t="s">
        <v>33</v>
      </c>
      <c r="D382" s="2" t="s">
        <v>21</v>
      </c>
      <c r="E382" s="3">
        <v>45428</v>
      </c>
      <c r="F382" s="3">
        <v>45428</v>
      </c>
      <c r="G382" s="3">
        <v>45432</v>
      </c>
      <c r="H382" s="3">
        <v>45432</v>
      </c>
      <c r="I382" s="2">
        <v>4</v>
      </c>
      <c r="J382" s="4">
        <v>0</v>
      </c>
      <c r="K382" s="5" t="s">
        <v>1200</v>
      </c>
      <c r="L382" s="5" t="s">
        <v>1201</v>
      </c>
    </row>
    <row r="383" spans="1:12" ht="116" x14ac:dyDescent="0.35">
      <c r="A383" s="1" t="s">
        <v>1202</v>
      </c>
      <c r="B383" s="2" t="s">
        <v>1203</v>
      </c>
      <c r="C383" s="2" t="s">
        <v>38</v>
      </c>
      <c r="D383" s="2" t="s">
        <v>15</v>
      </c>
      <c r="E383" s="3">
        <v>45427</v>
      </c>
      <c r="F383" s="3">
        <v>45567</v>
      </c>
      <c r="G383" s="3">
        <v>45475</v>
      </c>
      <c r="H383" s="3">
        <v>45566</v>
      </c>
      <c r="I383" s="2">
        <v>48</v>
      </c>
      <c r="J383" s="4">
        <v>91</v>
      </c>
      <c r="K383" s="5" t="s">
        <v>806</v>
      </c>
      <c r="L383" s="5" t="s">
        <v>1204</v>
      </c>
    </row>
    <row r="384" spans="1:12" ht="116" x14ac:dyDescent="0.35">
      <c r="A384" s="1" t="s">
        <v>1205</v>
      </c>
      <c r="B384" s="2" t="s">
        <v>1206</v>
      </c>
      <c r="C384" s="2" t="s">
        <v>20</v>
      </c>
      <c r="D384" s="2" t="s">
        <v>21</v>
      </c>
      <c r="E384" s="3">
        <v>45426</v>
      </c>
      <c r="F384" s="3">
        <v>45435</v>
      </c>
      <c r="G384" s="3">
        <v>45447</v>
      </c>
      <c r="H384" s="3">
        <v>45447</v>
      </c>
      <c r="I384" s="2">
        <v>21</v>
      </c>
      <c r="J384" s="4">
        <v>0</v>
      </c>
      <c r="K384" s="5" t="s">
        <v>1207</v>
      </c>
      <c r="L384" s="5" t="s">
        <v>108</v>
      </c>
    </row>
    <row r="385" spans="1:12" ht="145" x14ac:dyDescent="0.35">
      <c r="A385" s="1" t="s">
        <v>1208</v>
      </c>
      <c r="B385" s="2" t="s">
        <v>1209</v>
      </c>
      <c r="C385" s="2" t="s">
        <v>38</v>
      </c>
      <c r="D385" s="2" t="s">
        <v>21</v>
      </c>
      <c r="E385" s="3">
        <v>45426</v>
      </c>
      <c r="F385" s="3">
        <v>45968</v>
      </c>
      <c r="G385" s="3">
        <v>45981</v>
      </c>
      <c r="H385" s="3">
        <v>45981</v>
      </c>
      <c r="I385" s="2">
        <v>555</v>
      </c>
      <c r="J385" s="4">
        <v>0</v>
      </c>
      <c r="K385" s="5" t="s">
        <v>1210</v>
      </c>
      <c r="L385" s="5" t="s">
        <v>1211</v>
      </c>
    </row>
    <row r="386" spans="1:12" ht="72.5" x14ac:dyDescent="0.35">
      <c r="A386" s="1" t="s">
        <v>1212</v>
      </c>
      <c r="B386" s="2" t="s">
        <v>1213</v>
      </c>
      <c r="C386" s="2" t="s">
        <v>33</v>
      </c>
      <c r="D386" s="2" t="s">
        <v>15</v>
      </c>
      <c r="E386" s="3">
        <v>45426</v>
      </c>
      <c r="F386" s="3">
        <v>45939</v>
      </c>
      <c r="G386" s="3">
        <v>45477</v>
      </c>
      <c r="H386" s="3">
        <v>45509</v>
      </c>
      <c r="I386" s="2">
        <v>51</v>
      </c>
      <c r="J386" s="4">
        <v>32</v>
      </c>
      <c r="K386" s="5" t="s">
        <v>1214</v>
      </c>
      <c r="L386" s="5" t="s">
        <v>86</v>
      </c>
    </row>
    <row r="387" spans="1:12" ht="58" x14ac:dyDescent="0.35">
      <c r="A387" s="1" t="s">
        <v>1215</v>
      </c>
      <c r="B387" s="2" t="s">
        <v>1216</v>
      </c>
      <c r="C387" s="2" t="s">
        <v>25</v>
      </c>
      <c r="D387" s="2" t="s">
        <v>15</v>
      </c>
      <c r="E387" s="3">
        <v>45426</v>
      </c>
      <c r="F387" s="3">
        <v>45679</v>
      </c>
      <c r="G387" s="3">
        <v>45440</v>
      </c>
      <c r="H387" s="3">
        <v>45440</v>
      </c>
      <c r="I387" s="2">
        <v>14</v>
      </c>
      <c r="J387" s="4">
        <v>0</v>
      </c>
      <c r="K387" s="5" t="s">
        <v>1217</v>
      </c>
      <c r="L387" s="5" t="s">
        <v>1218</v>
      </c>
    </row>
    <row r="388" spans="1:12" ht="29" x14ac:dyDescent="0.35">
      <c r="A388" s="1" t="s">
        <v>1219</v>
      </c>
      <c r="B388" s="2" t="s">
        <v>1220</v>
      </c>
      <c r="C388" s="2" t="s">
        <v>33</v>
      </c>
      <c r="D388" s="2" t="s">
        <v>21</v>
      </c>
      <c r="E388" s="3">
        <v>45425</v>
      </c>
      <c r="F388" s="3">
        <v>45425</v>
      </c>
      <c r="G388" s="3">
        <v>45426</v>
      </c>
      <c r="H388" s="3">
        <v>45426</v>
      </c>
      <c r="I388" s="2">
        <v>1</v>
      </c>
      <c r="J388" s="4">
        <v>0</v>
      </c>
      <c r="K388" s="5" t="s">
        <v>1221</v>
      </c>
      <c r="L388" s="5" t="s">
        <v>198</v>
      </c>
    </row>
    <row r="389" spans="1:12" ht="101.5" x14ac:dyDescent="0.35">
      <c r="A389" s="1" t="s">
        <v>1222</v>
      </c>
      <c r="B389" s="2" t="s">
        <v>1223</v>
      </c>
      <c r="C389" s="2" t="s">
        <v>20</v>
      </c>
      <c r="D389" s="2" t="s">
        <v>21</v>
      </c>
      <c r="E389" s="3">
        <v>45422</v>
      </c>
      <c r="F389" s="3">
        <v>45429</v>
      </c>
      <c r="G389" s="3">
        <v>45464</v>
      </c>
      <c r="H389" s="3">
        <v>45464</v>
      </c>
      <c r="I389" s="2">
        <v>42</v>
      </c>
      <c r="J389" s="4">
        <v>0</v>
      </c>
      <c r="K389" s="5" t="s">
        <v>435</v>
      </c>
      <c r="L389" s="5" t="s">
        <v>1224</v>
      </c>
    </row>
    <row r="390" spans="1:12" ht="72.5" x14ac:dyDescent="0.35">
      <c r="A390" s="1" t="s">
        <v>1225</v>
      </c>
      <c r="B390" s="2" t="s">
        <v>1226</v>
      </c>
      <c r="C390" s="2" t="s">
        <v>14</v>
      </c>
      <c r="D390" s="2" t="s">
        <v>15</v>
      </c>
      <c r="E390" s="3">
        <v>45421</v>
      </c>
      <c r="F390" s="3">
        <v>45425</v>
      </c>
      <c r="G390" s="3">
        <v>45447</v>
      </c>
      <c r="H390" s="3">
        <v>45447</v>
      </c>
      <c r="I390" s="2">
        <v>26</v>
      </c>
      <c r="J390" s="4">
        <v>0</v>
      </c>
      <c r="K390" s="5" t="s">
        <v>1227</v>
      </c>
      <c r="L390" s="5" t="s">
        <v>1228</v>
      </c>
    </row>
    <row r="391" spans="1:12" ht="58" x14ac:dyDescent="0.35">
      <c r="A391" s="1" t="s">
        <v>1229</v>
      </c>
      <c r="B391" s="2" t="s">
        <v>1230</v>
      </c>
      <c r="C391" s="2" t="s">
        <v>38</v>
      </c>
      <c r="D391" s="2" t="s">
        <v>15</v>
      </c>
      <c r="E391" s="3">
        <v>45421</v>
      </c>
      <c r="F391" s="3">
        <v>45482</v>
      </c>
      <c r="G391" s="3">
        <v>45454</v>
      </c>
      <c r="H391" s="3">
        <v>45534</v>
      </c>
      <c r="I391" s="2">
        <v>33</v>
      </c>
      <c r="J391" s="4">
        <v>80</v>
      </c>
      <c r="K391" s="5" t="s">
        <v>1231</v>
      </c>
      <c r="L391" s="5" t="s">
        <v>1232</v>
      </c>
    </row>
    <row r="392" spans="1:12" ht="72.5" x14ac:dyDescent="0.35">
      <c r="A392" s="1" t="s">
        <v>1233</v>
      </c>
      <c r="B392" s="2" t="s">
        <v>1234</v>
      </c>
      <c r="C392" s="2" t="s">
        <v>151</v>
      </c>
      <c r="D392" s="2" t="s">
        <v>15</v>
      </c>
      <c r="E392" s="3">
        <v>45420</v>
      </c>
      <c r="F392" s="3">
        <v>45421</v>
      </c>
      <c r="G392" s="3">
        <v>45428</v>
      </c>
      <c r="H392" s="3">
        <v>45428</v>
      </c>
      <c r="I392" s="2">
        <v>8</v>
      </c>
      <c r="J392" s="4">
        <v>0</v>
      </c>
      <c r="K392" s="5" t="s">
        <v>165</v>
      </c>
      <c r="L392" s="5" t="s">
        <v>35</v>
      </c>
    </row>
    <row r="393" spans="1:12" ht="58" x14ac:dyDescent="0.35">
      <c r="A393" s="1" t="s">
        <v>1235</v>
      </c>
      <c r="B393" s="2" t="s">
        <v>1236</v>
      </c>
      <c r="C393" s="2" t="s">
        <v>20</v>
      </c>
      <c r="D393" s="2" t="s">
        <v>15</v>
      </c>
      <c r="E393" s="3">
        <v>45419</v>
      </c>
      <c r="F393" s="3">
        <v>45426</v>
      </c>
      <c r="G393" s="3">
        <v>45532</v>
      </c>
      <c r="H393" s="3">
        <v>45532</v>
      </c>
      <c r="I393" s="2">
        <v>113</v>
      </c>
      <c r="J393" s="4">
        <v>0</v>
      </c>
      <c r="K393" s="5" t="s">
        <v>432</v>
      </c>
      <c r="L393" s="5" t="s">
        <v>67</v>
      </c>
    </row>
    <row r="394" spans="1:12" ht="43.5" x14ac:dyDescent="0.35">
      <c r="A394" s="1" t="s">
        <v>1237</v>
      </c>
      <c r="B394" s="2" t="s">
        <v>1238</v>
      </c>
      <c r="C394" s="2" t="s">
        <v>33</v>
      </c>
      <c r="D394" s="2" t="s">
        <v>15</v>
      </c>
      <c r="E394" s="3">
        <v>45419</v>
      </c>
      <c r="F394" s="3">
        <v>45419</v>
      </c>
      <c r="G394" s="3">
        <v>45434</v>
      </c>
      <c r="H394" s="3">
        <v>45434</v>
      </c>
      <c r="I394" s="2">
        <v>15</v>
      </c>
      <c r="J394" s="4">
        <v>0</v>
      </c>
      <c r="K394" s="5" t="s">
        <v>1239</v>
      </c>
      <c r="L394" s="5" t="s">
        <v>17</v>
      </c>
    </row>
    <row r="395" spans="1:12" ht="58" x14ac:dyDescent="0.35">
      <c r="A395" s="1" t="s">
        <v>1240</v>
      </c>
      <c r="B395" s="2" t="s">
        <v>1241</v>
      </c>
      <c r="C395" s="2" t="s">
        <v>20</v>
      </c>
      <c r="D395" s="2" t="s">
        <v>21</v>
      </c>
      <c r="E395" s="3">
        <v>45419</v>
      </c>
      <c r="F395" s="3">
        <v>45705</v>
      </c>
      <c r="G395" s="3">
        <v>45845</v>
      </c>
      <c r="H395" s="3">
        <v>45845</v>
      </c>
      <c r="I395" s="2">
        <v>426</v>
      </c>
      <c r="J395" s="4">
        <v>0</v>
      </c>
      <c r="K395" s="5" t="s">
        <v>107</v>
      </c>
      <c r="L395" s="5" t="s">
        <v>983</v>
      </c>
    </row>
    <row r="396" spans="1:12" ht="43.5" x14ac:dyDescent="0.35">
      <c r="A396" s="1" t="s">
        <v>1242</v>
      </c>
      <c r="B396" s="2" t="s">
        <v>1243</v>
      </c>
      <c r="C396" s="2" t="s">
        <v>33</v>
      </c>
      <c r="D396" s="2" t="s">
        <v>21</v>
      </c>
      <c r="E396" s="3">
        <v>45414</v>
      </c>
      <c r="F396" s="3">
        <v>45944</v>
      </c>
      <c r="G396" s="3">
        <v>45951</v>
      </c>
      <c r="H396" s="3">
        <v>45951</v>
      </c>
      <c r="I396" s="2">
        <v>537</v>
      </c>
      <c r="J396" s="4">
        <v>0</v>
      </c>
      <c r="K396" s="5" t="s">
        <v>982</v>
      </c>
      <c r="L396" s="5" t="s">
        <v>67</v>
      </c>
    </row>
    <row r="397" spans="1:12" ht="29" x14ac:dyDescent="0.35">
      <c r="A397" s="1" t="s">
        <v>1244</v>
      </c>
      <c r="B397" s="2" t="s">
        <v>1245</v>
      </c>
      <c r="C397" s="2" t="s">
        <v>306</v>
      </c>
      <c r="D397" s="2" t="s">
        <v>21</v>
      </c>
      <c r="E397" s="3">
        <v>45414</v>
      </c>
      <c r="F397" s="3">
        <v>45414</v>
      </c>
      <c r="G397" s="3">
        <v>45554</v>
      </c>
      <c r="H397" s="3">
        <v>45554</v>
      </c>
      <c r="I397" s="2">
        <v>140</v>
      </c>
      <c r="J397" s="4">
        <v>0</v>
      </c>
      <c r="K397" s="5" t="s">
        <v>810</v>
      </c>
      <c r="L397" s="5" t="s">
        <v>1246</v>
      </c>
    </row>
    <row r="398" spans="1:12" ht="29" x14ac:dyDescent="0.35">
      <c r="A398" s="1" t="s">
        <v>1247</v>
      </c>
      <c r="B398" s="2" t="s">
        <v>1248</v>
      </c>
      <c r="C398" s="2" t="s">
        <v>20</v>
      </c>
      <c r="D398" s="2" t="s">
        <v>15</v>
      </c>
      <c r="E398" s="3">
        <v>45412</v>
      </c>
      <c r="F398" s="3">
        <v>45412</v>
      </c>
      <c r="G398" s="3">
        <v>45433</v>
      </c>
      <c r="H398" s="3">
        <v>45433</v>
      </c>
      <c r="I398" s="2">
        <v>21</v>
      </c>
      <c r="J398" s="4">
        <v>0</v>
      </c>
      <c r="K398" s="5" t="s">
        <v>1249</v>
      </c>
      <c r="L398" s="5" t="s">
        <v>938</v>
      </c>
    </row>
    <row r="399" spans="1:12" ht="29" x14ac:dyDescent="0.35">
      <c r="A399" s="1" t="s">
        <v>1250</v>
      </c>
      <c r="B399" s="2" t="s">
        <v>1251</v>
      </c>
      <c r="C399" s="2" t="s">
        <v>33</v>
      </c>
      <c r="D399" s="2" t="s">
        <v>15</v>
      </c>
      <c r="E399" s="3">
        <v>45412</v>
      </c>
      <c r="F399" s="3">
        <v>45412</v>
      </c>
      <c r="G399" s="3">
        <v>45425</v>
      </c>
      <c r="H399" s="3">
        <v>45425</v>
      </c>
      <c r="I399" s="2">
        <v>13</v>
      </c>
      <c r="J399" s="4">
        <v>0</v>
      </c>
      <c r="K399" s="5" t="s">
        <v>1252</v>
      </c>
      <c r="L399" s="5" t="s">
        <v>17</v>
      </c>
    </row>
    <row r="400" spans="1:12" ht="43.5" x14ac:dyDescent="0.35">
      <c r="A400" s="1" t="s">
        <v>1253</v>
      </c>
      <c r="B400" s="2" t="s">
        <v>1254</v>
      </c>
      <c r="C400" s="2" t="s">
        <v>33</v>
      </c>
      <c r="D400" s="2" t="s">
        <v>15</v>
      </c>
      <c r="E400" s="3">
        <v>45412</v>
      </c>
      <c r="F400" s="3">
        <v>45414</v>
      </c>
      <c r="G400" s="3">
        <v>45450</v>
      </c>
      <c r="H400" s="3">
        <v>45450</v>
      </c>
      <c r="I400" s="2">
        <v>38</v>
      </c>
      <c r="J400" s="4">
        <v>0</v>
      </c>
      <c r="K400" s="5" t="s">
        <v>378</v>
      </c>
      <c r="L400" s="5" t="s">
        <v>35</v>
      </c>
    </row>
    <row r="401" spans="1:12" ht="72.5" x14ac:dyDescent="0.35">
      <c r="A401" s="1" t="s">
        <v>1255</v>
      </c>
      <c r="B401" s="2" t="s">
        <v>1256</v>
      </c>
      <c r="C401" s="2" t="s">
        <v>38</v>
      </c>
      <c r="D401" s="2" t="s">
        <v>21</v>
      </c>
      <c r="E401" s="3">
        <v>45412</v>
      </c>
      <c r="F401" s="3">
        <v>45512</v>
      </c>
      <c r="G401" s="3">
        <v>45537</v>
      </c>
      <c r="H401" s="3">
        <v>45537</v>
      </c>
      <c r="I401" s="2">
        <v>125</v>
      </c>
      <c r="J401" s="4">
        <v>0</v>
      </c>
      <c r="K401" s="5" t="s">
        <v>111</v>
      </c>
      <c r="L401" s="5" t="s">
        <v>112</v>
      </c>
    </row>
    <row r="402" spans="1:12" ht="87" x14ac:dyDescent="0.35">
      <c r="A402" s="1" t="s">
        <v>1257</v>
      </c>
      <c r="B402" s="2" t="s">
        <v>1258</v>
      </c>
      <c r="C402" s="2" t="s">
        <v>38</v>
      </c>
      <c r="D402" s="2" t="s">
        <v>15</v>
      </c>
      <c r="E402" s="3">
        <v>45412</v>
      </c>
      <c r="F402" s="3">
        <v>45469</v>
      </c>
      <c r="G402" s="3">
        <v>45435</v>
      </c>
      <c r="H402" s="3">
        <v>45495</v>
      </c>
      <c r="I402" s="2">
        <v>23</v>
      </c>
      <c r="J402" s="4">
        <v>60</v>
      </c>
      <c r="K402" s="5" t="s">
        <v>1259</v>
      </c>
      <c r="L402" s="5" t="s">
        <v>67</v>
      </c>
    </row>
    <row r="403" spans="1:12" ht="232" x14ac:dyDescent="0.35">
      <c r="A403" s="1" t="s">
        <v>1260</v>
      </c>
      <c r="B403" s="2" t="s">
        <v>1261</v>
      </c>
      <c r="C403" s="2" t="s">
        <v>14</v>
      </c>
      <c r="D403" s="2" t="s">
        <v>21</v>
      </c>
      <c r="E403" s="3">
        <v>45405</v>
      </c>
      <c r="F403" s="3">
        <v>45463</v>
      </c>
      <c r="G403" s="3">
        <v>45476</v>
      </c>
      <c r="H403" s="3">
        <v>45476</v>
      </c>
      <c r="I403" s="2">
        <v>71</v>
      </c>
      <c r="J403" s="4">
        <v>0</v>
      </c>
      <c r="K403" s="5" t="s">
        <v>1262</v>
      </c>
      <c r="L403" s="5" t="s">
        <v>1263</v>
      </c>
    </row>
    <row r="404" spans="1:12" ht="304.5" x14ac:dyDescent="0.35">
      <c r="A404" s="1" t="s">
        <v>1264</v>
      </c>
      <c r="B404" s="2" t="s">
        <v>1265</v>
      </c>
      <c r="C404" s="2" t="s">
        <v>38</v>
      </c>
      <c r="D404" s="2" t="s">
        <v>15</v>
      </c>
      <c r="E404" s="3">
        <v>45404</v>
      </c>
      <c r="F404" s="3">
        <v>45751</v>
      </c>
      <c r="G404" s="3">
        <v>45440</v>
      </c>
      <c r="H404" s="3">
        <v>45642</v>
      </c>
      <c r="I404" s="2">
        <v>36</v>
      </c>
      <c r="J404" s="4">
        <v>202</v>
      </c>
      <c r="K404" s="5" t="s">
        <v>1266</v>
      </c>
      <c r="L404" s="5" t="s">
        <v>108</v>
      </c>
    </row>
    <row r="405" spans="1:12" ht="130.5" x14ac:dyDescent="0.35">
      <c r="A405" s="1" t="s">
        <v>1267</v>
      </c>
      <c r="B405" s="2" t="s">
        <v>1268</v>
      </c>
      <c r="C405" s="2" t="s">
        <v>20</v>
      </c>
      <c r="D405" s="2" t="s">
        <v>21</v>
      </c>
      <c r="E405" s="3">
        <v>45404</v>
      </c>
      <c r="F405" s="3">
        <v>45840</v>
      </c>
      <c r="G405" s="3">
        <v>45747</v>
      </c>
      <c r="H405" s="3">
        <v>45751</v>
      </c>
      <c r="I405" s="2">
        <v>343</v>
      </c>
      <c r="J405" s="4">
        <v>4</v>
      </c>
      <c r="K405" s="5" t="s">
        <v>338</v>
      </c>
      <c r="L405" s="5" t="s">
        <v>1269</v>
      </c>
    </row>
    <row r="406" spans="1:12" ht="101.5" x14ac:dyDescent="0.35">
      <c r="A406" s="1" t="s">
        <v>1270</v>
      </c>
      <c r="B406" s="2" t="s">
        <v>1271</v>
      </c>
      <c r="C406" s="2" t="s">
        <v>14</v>
      </c>
      <c r="D406" s="2" t="s">
        <v>21</v>
      </c>
      <c r="E406" s="3">
        <v>45401</v>
      </c>
      <c r="F406" s="3">
        <v>45671</v>
      </c>
      <c r="G406" s="3">
        <v>45628</v>
      </c>
      <c r="H406" s="3">
        <v>45628</v>
      </c>
      <c r="I406" s="2">
        <v>227</v>
      </c>
      <c r="J406" s="4">
        <v>0</v>
      </c>
      <c r="K406" s="5" t="s">
        <v>456</v>
      </c>
      <c r="L406" s="5" t="s">
        <v>71</v>
      </c>
    </row>
    <row r="407" spans="1:12" ht="43.5" x14ac:dyDescent="0.35">
      <c r="A407" s="1" t="s">
        <v>1272</v>
      </c>
      <c r="B407" s="2" t="s">
        <v>1273</v>
      </c>
      <c r="C407" s="2" t="s">
        <v>20</v>
      </c>
      <c r="D407" s="2" t="s">
        <v>15</v>
      </c>
      <c r="E407" s="3">
        <v>45400</v>
      </c>
      <c r="F407" s="3">
        <v>45427</v>
      </c>
      <c r="G407" s="3">
        <v>45427</v>
      </c>
      <c r="H407" s="3">
        <v>45427</v>
      </c>
      <c r="I407" s="2">
        <v>27</v>
      </c>
      <c r="J407" s="4">
        <v>0</v>
      </c>
      <c r="K407" s="5" t="s">
        <v>634</v>
      </c>
      <c r="L407" s="5" t="s">
        <v>1185</v>
      </c>
    </row>
    <row r="408" spans="1:12" ht="43.5" x14ac:dyDescent="0.35">
      <c r="A408" s="1" t="s">
        <v>1274</v>
      </c>
      <c r="B408" s="2" t="s">
        <v>1275</v>
      </c>
      <c r="C408" s="2" t="s">
        <v>20</v>
      </c>
      <c r="D408" s="2" t="s">
        <v>21</v>
      </c>
      <c r="E408" s="3">
        <v>45400</v>
      </c>
      <c r="F408" s="3">
        <v>45401</v>
      </c>
      <c r="G408" s="3">
        <v>45408</v>
      </c>
      <c r="H408" s="3">
        <v>45408</v>
      </c>
      <c r="I408" s="2">
        <v>8</v>
      </c>
      <c r="J408" s="4">
        <v>0</v>
      </c>
      <c r="K408" s="5" t="s">
        <v>1276</v>
      </c>
      <c r="L408" s="5" t="s">
        <v>35</v>
      </c>
    </row>
    <row r="409" spans="1:12" x14ac:dyDescent="0.35">
      <c r="A409" s="1" t="s">
        <v>1277</v>
      </c>
      <c r="B409" s="2" t="s">
        <v>1278</v>
      </c>
      <c r="C409" s="2" t="s">
        <v>38</v>
      </c>
      <c r="D409" s="2" t="s">
        <v>15</v>
      </c>
      <c r="E409" s="3">
        <v>45399</v>
      </c>
      <c r="F409" s="3">
        <v>45399</v>
      </c>
      <c r="G409" s="3">
        <v>45406</v>
      </c>
      <c r="H409" s="3">
        <v>45406</v>
      </c>
      <c r="I409" s="2">
        <v>7</v>
      </c>
      <c r="J409" s="4">
        <v>0</v>
      </c>
      <c r="K409" s="5" t="s">
        <v>1279</v>
      </c>
      <c r="L409" s="5" t="s">
        <v>17</v>
      </c>
    </row>
    <row r="410" spans="1:12" ht="72.5" x14ac:dyDescent="0.35">
      <c r="A410" s="1" t="s">
        <v>1280</v>
      </c>
      <c r="B410" s="2" t="s">
        <v>1281</v>
      </c>
      <c r="C410" s="2" t="s">
        <v>151</v>
      </c>
      <c r="D410" s="2" t="s">
        <v>21</v>
      </c>
      <c r="E410" s="3">
        <v>45394</v>
      </c>
      <c r="F410" s="3">
        <v>45918</v>
      </c>
      <c r="G410" s="3">
        <v>45964</v>
      </c>
      <c r="H410" s="3">
        <v>45964</v>
      </c>
      <c r="I410" s="2">
        <v>570</v>
      </c>
      <c r="J410" s="4">
        <v>0</v>
      </c>
      <c r="K410" s="5" t="s">
        <v>1282</v>
      </c>
      <c r="L410" s="5" t="s">
        <v>112</v>
      </c>
    </row>
    <row r="411" spans="1:12" ht="43.5" x14ac:dyDescent="0.35">
      <c r="A411" s="1" t="s">
        <v>1283</v>
      </c>
      <c r="B411" s="2" t="s">
        <v>1284</v>
      </c>
      <c r="C411" s="2" t="s">
        <v>33</v>
      </c>
      <c r="D411" s="2" t="s">
        <v>21</v>
      </c>
      <c r="E411" s="3">
        <v>45394</v>
      </c>
      <c r="F411" s="3">
        <v>45454</v>
      </c>
      <c r="G411" s="3">
        <v>45460</v>
      </c>
      <c r="H411" s="3">
        <v>45460</v>
      </c>
      <c r="I411" s="2">
        <v>66</v>
      </c>
      <c r="J411" s="4">
        <v>0</v>
      </c>
      <c r="K411" s="5" t="s">
        <v>634</v>
      </c>
      <c r="L411" s="5" t="s">
        <v>122</v>
      </c>
    </row>
    <row r="412" spans="1:12" ht="43.5" x14ac:dyDescent="0.35">
      <c r="A412" s="1" t="s">
        <v>1285</v>
      </c>
      <c r="B412" s="2" t="s">
        <v>1286</v>
      </c>
      <c r="C412" s="2" t="s">
        <v>151</v>
      </c>
      <c r="D412" s="2" t="s">
        <v>15</v>
      </c>
      <c r="E412" s="3">
        <v>45394</v>
      </c>
      <c r="F412" s="3">
        <v>45394</v>
      </c>
      <c r="G412" s="3">
        <v>45446</v>
      </c>
      <c r="H412" s="3">
        <v>45446</v>
      </c>
      <c r="I412" s="2">
        <v>52</v>
      </c>
      <c r="J412" s="4">
        <v>0</v>
      </c>
      <c r="K412" s="5" t="s">
        <v>355</v>
      </c>
      <c r="L412" s="5" t="s">
        <v>356</v>
      </c>
    </row>
    <row r="413" spans="1:12" ht="304.5" x14ac:dyDescent="0.35">
      <c r="A413" s="1" t="s">
        <v>1287</v>
      </c>
      <c r="B413" s="2" t="s">
        <v>1288</v>
      </c>
      <c r="C413" s="2" t="s">
        <v>20</v>
      </c>
      <c r="D413" s="2" t="s">
        <v>21</v>
      </c>
      <c r="E413" s="3">
        <v>45394</v>
      </c>
      <c r="F413" s="3">
        <v>45980</v>
      </c>
      <c r="G413" s="3">
        <v>45551</v>
      </c>
      <c r="H413" s="3">
        <v>45987</v>
      </c>
      <c r="I413" s="2">
        <v>157</v>
      </c>
      <c r="J413" s="4">
        <v>436</v>
      </c>
      <c r="K413" s="5" t="s">
        <v>1102</v>
      </c>
      <c r="L413" s="5" t="s">
        <v>1289</v>
      </c>
    </row>
    <row r="414" spans="1:12" ht="58" x14ac:dyDescent="0.35">
      <c r="A414" s="1" t="s">
        <v>1290</v>
      </c>
      <c r="B414" s="2" t="s">
        <v>1291</v>
      </c>
      <c r="C414" s="2" t="s">
        <v>25</v>
      </c>
      <c r="D414" s="2" t="s">
        <v>15</v>
      </c>
      <c r="E414" s="3">
        <v>45392</v>
      </c>
      <c r="F414" s="3">
        <v>45421</v>
      </c>
      <c r="G414" s="3">
        <v>45435</v>
      </c>
      <c r="H414" s="3">
        <v>45435</v>
      </c>
      <c r="I414" s="2">
        <v>43</v>
      </c>
      <c r="J414" s="4">
        <v>0</v>
      </c>
      <c r="K414" s="5" t="s">
        <v>1292</v>
      </c>
      <c r="L414" s="5" t="s">
        <v>1293</v>
      </c>
    </row>
    <row r="415" spans="1:12" ht="174" x14ac:dyDescent="0.35">
      <c r="A415" s="1" t="s">
        <v>1294</v>
      </c>
      <c r="B415" s="2" t="s">
        <v>1295</v>
      </c>
      <c r="C415" s="2" t="s">
        <v>38</v>
      </c>
      <c r="D415" s="2" t="s">
        <v>15</v>
      </c>
      <c r="E415" s="3">
        <v>45394</v>
      </c>
      <c r="F415" s="3">
        <v>45399</v>
      </c>
      <c r="G415" s="3">
        <v>45510</v>
      </c>
      <c r="H415" s="3">
        <v>45510</v>
      </c>
      <c r="I415" s="2">
        <v>116</v>
      </c>
      <c r="J415" s="4">
        <v>0</v>
      </c>
      <c r="K415" s="5" t="s">
        <v>986</v>
      </c>
      <c r="L415" s="5" t="s">
        <v>67</v>
      </c>
    </row>
    <row r="416" spans="1:12" ht="261" x14ac:dyDescent="0.35">
      <c r="A416" s="1" t="s">
        <v>1296</v>
      </c>
      <c r="B416" s="2" t="s">
        <v>1297</v>
      </c>
      <c r="C416" s="2" t="s">
        <v>38</v>
      </c>
      <c r="D416" s="2" t="s">
        <v>15</v>
      </c>
      <c r="E416" s="3">
        <v>45391</v>
      </c>
      <c r="F416" s="3">
        <v>45769</v>
      </c>
      <c r="G416" s="3">
        <v>45875</v>
      </c>
      <c r="H416" s="3">
        <v>45875</v>
      </c>
      <c r="I416" s="2">
        <v>484</v>
      </c>
      <c r="J416" s="4">
        <v>0</v>
      </c>
      <c r="K416" s="5" t="s">
        <v>865</v>
      </c>
      <c r="L416" s="5" t="s">
        <v>219</v>
      </c>
    </row>
    <row r="417" spans="1:12" ht="101.5" x14ac:dyDescent="0.35">
      <c r="A417" s="1" t="s">
        <v>1298</v>
      </c>
      <c r="B417" s="2" t="s">
        <v>1299</v>
      </c>
      <c r="C417" s="2" t="s">
        <v>20</v>
      </c>
      <c r="D417" s="2" t="s">
        <v>21</v>
      </c>
      <c r="E417" s="3">
        <v>45387</v>
      </c>
      <c r="F417" s="3">
        <v>45393</v>
      </c>
      <c r="G417" s="3">
        <v>45446</v>
      </c>
      <c r="H417" s="3">
        <v>45446</v>
      </c>
      <c r="I417" s="2">
        <v>59</v>
      </c>
      <c r="J417" s="4">
        <v>0</v>
      </c>
      <c r="K417" s="5" t="s">
        <v>456</v>
      </c>
      <c r="L417" s="5" t="s">
        <v>71</v>
      </c>
    </row>
    <row r="418" spans="1:12" ht="87" x14ac:dyDescent="0.35">
      <c r="A418" s="1" t="s">
        <v>1300</v>
      </c>
      <c r="B418" s="2" t="s">
        <v>1301</v>
      </c>
      <c r="C418" s="2" t="s">
        <v>171</v>
      </c>
      <c r="D418" s="2" t="s">
        <v>15</v>
      </c>
      <c r="E418" s="3">
        <v>45387</v>
      </c>
      <c r="F418" s="3">
        <v>45392</v>
      </c>
      <c r="G418" s="3">
        <v>45404</v>
      </c>
      <c r="H418" s="3">
        <v>45404</v>
      </c>
      <c r="I418" s="2">
        <v>17</v>
      </c>
      <c r="J418" s="4">
        <v>0</v>
      </c>
      <c r="K418" s="5" t="s">
        <v>1259</v>
      </c>
      <c r="L418" s="5" t="s">
        <v>67</v>
      </c>
    </row>
    <row r="419" spans="1:12" ht="145" x14ac:dyDescent="0.35">
      <c r="A419" s="1" t="s">
        <v>1302</v>
      </c>
      <c r="B419" s="2" t="s">
        <v>1303</v>
      </c>
      <c r="C419" s="2" t="s">
        <v>151</v>
      </c>
      <c r="D419" s="2" t="s">
        <v>15</v>
      </c>
      <c r="E419" s="3">
        <v>45387</v>
      </c>
      <c r="F419" s="3">
        <v>45455</v>
      </c>
      <c r="G419" s="3">
        <v>45484</v>
      </c>
      <c r="H419" s="3">
        <v>45484</v>
      </c>
      <c r="I419" s="2">
        <v>97</v>
      </c>
      <c r="J419" s="4">
        <v>0</v>
      </c>
      <c r="K419" s="5" t="s">
        <v>463</v>
      </c>
      <c r="L419" s="5" t="s">
        <v>1181</v>
      </c>
    </row>
    <row r="420" spans="1:12" ht="87" x14ac:dyDescent="0.35">
      <c r="A420" s="1" t="s">
        <v>1304</v>
      </c>
      <c r="B420" s="2" t="s">
        <v>1305</v>
      </c>
      <c r="C420" s="2" t="s">
        <v>33</v>
      </c>
      <c r="D420" s="2" t="s">
        <v>21</v>
      </c>
      <c r="E420" s="3">
        <v>45386</v>
      </c>
      <c r="F420" s="3">
        <v>45393</v>
      </c>
      <c r="G420" s="3">
        <v>45420</v>
      </c>
      <c r="H420" s="3">
        <v>45420</v>
      </c>
      <c r="I420" s="2">
        <v>34</v>
      </c>
      <c r="J420" s="4">
        <v>0</v>
      </c>
      <c r="K420" s="5" t="s">
        <v>852</v>
      </c>
      <c r="L420" s="5" t="s">
        <v>983</v>
      </c>
    </row>
    <row r="421" spans="1:12" ht="87" x14ac:dyDescent="0.35">
      <c r="A421" s="1" t="s">
        <v>1306</v>
      </c>
      <c r="B421" s="2" t="s">
        <v>1307</v>
      </c>
      <c r="C421" s="2" t="s">
        <v>38</v>
      </c>
      <c r="D421" s="2" t="s">
        <v>15</v>
      </c>
      <c r="E421" s="3">
        <v>45398</v>
      </c>
      <c r="F421" s="3">
        <v>45810</v>
      </c>
      <c r="G421" s="3">
        <v>45576</v>
      </c>
      <c r="H421" s="3">
        <v>45832</v>
      </c>
      <c r="I421" s="2">
        <v>178</v>
      </c>
      <c r="J421" s="4">
        <v>256</v>
      </c>
      <c r="K421" s="5" t="s">
        <v>281</v>
      </c>
      <c r="L421" s="5" t="s">
        <v>1308</v>
      </c>
    </row>
    <row r="422" spans="1:12" ht="43.5" x14ac:dyDescent="0.35">
      <c r="A422" s="1" t="s">
        <v>1309</v>
      </c>
      <c r="B422" s="2" t="s">
        <v>1310</v>
      </c>
      <c r="C422" s="2" t="s">
        <v>33</v>
      </c>
      <c r="D422" s="2" t="s">
        <v>21</v>
      </c>
      <c r="E422" s="3">
        <v>45384</v>
      </c>
      <c r="F422" s="3">
        <v>45387</v>
      </c>
      <c r="G422" s="3">
        <v>45406</v>
      </c>
      <c r="H422" s="3">
        <v>45406</v>
      </c>
      <c r="I422" s="2">
        <v>22</v>
      </c>
      <c r="J422" s="4">
        <v>0</v>
      </c>
      <c r="K422" s="5" t="s">
        <v>1311</v>
      </c>
      <c r="L422" s="5" t="s">
        <v>35</v>
      </c>
    </row>
    <row r="423" spans="1:12" x14ac:dyDescent="0.35">
      <c r="A423" s="1" t="s">
        <v>1312</v>
      </c>
      <c r="B423" s="2" t="s">
        <v>1313</v>
      </c>
      <c r="C423" s="2" t="s">
        <v>20</v>
      </c>
      <c r="D423" s="2" t="s">
        <v>15</v>
      </c>
      <c r="E423" s="3">
        <v>45384</v>
      </c>
      <c r="F423" s="3">
        <v>45384</v>
      </c>
      <c r="G423" s="3">
        <v>45393</v>
      </c>
      <c r="H423" s="3">
        <v>45393</v>
      </c>
      <c r="I423" s="2">
        <v>9</v>
      </c>
      <c r="J423" s="4">
        <v>0</v>
      </c>
      <c r="K423" s="5" t="s">
        <v>293</v>
      </c>
      <c r="L423" s="5" t="s">
        <v>17</v>
      </c>
    </row>
    <row r="424" spans="1:12" ht="145" x14ac:dyDescent="0.35">
      <c r="A424" s="1" t="s">
        <v>1314</v>
      </c>
      <c r="B424" s="2" t="s">
        <v>1315</v>
      </c>
      <c r="C424" s="2" t="s">
        <v>20</v>
      </c>
      <c r="D424" s="2" t="s">
        <v>15</v>
      </c>
      <c r="E424" s="3">
        <v>45384</v>
      </c>
      <c r="F424" s="3">
        <v>45785</v>
      </c>
      <c r="G424" s="3">
        <v>45813</v>
      </c>
      <c r="H424" s="3">
        <v>45813</v>
      </c>
      <c r="I424" s="2">
        <v>429</v>
      </c>
      <c r="J424" s="4">
        <v>0</v>
      </c>
      <c r="K424" s="5" t="s">
        <v>1316</v>
      </c>
      <c r="L424" s="5" t="s">
        <v>1317</v>
      </c>
    </row>
    <row r="425" spans="1:12" ht="232" x14ac:dyDescent="0.35">
      <c r="A425" s="1" t="s">
        <v>1318</v>
      </c>
      <c r="B425" s="2" t="s">
        <v>1319</v>
      </c>
      <c r="C425" s="2" t="s">
        <v>20</v>
      </c>
      <c r="D425" s="2" t="s">
        <v>15</v>
      </c>
      <c r="E425" s="3">
        <v>45383</v>
      </c>
      <c r="F425" s="3">
        <v>45411</v>
      </c>
      <c r="G425" s="3">
        <v>45406</v>
      </c>
      <c r="H425" s="3">
        <v>45406</v>
      </c>
      <c r="I425" s="2">
        <v>23</v>
      </c>
      <c r="J425" s="4">
        <v>0</v>
      </c>
      <c r="K425" s="5" t="s">
        <v>1098</v>
      </c>
      <c r="L425" s="5" t="s">
        <v>1320</v>
      </c>
    </row>
    <row r="426" spans="1:12" ht="377" x14ac:dyDescent="0.35">
      <c r="A426" s="1" t="s">
        <v>1321</v>
      </c>
      <c r="B426" s="2" t="s">
        <v>1322</v>
      </c>
      <c r="C426" s="2" t="s">
        <v>20</v>
      </c>
      <c r="D426" s="2" t="s">
        <v>21</v>
      </c>
      <c r="E426" s="3">
        <v>45384</v>
      </c>
      <c r="F426" s="3">
        <v>45981</v>
      </c>
      <c r="G426" s="3">
        <v>45796</v>
      </c>
      <c r="H426" s="3">
        <v>45988</v>
      </c>
      <c r="I426" s="2">
        <v>412</v>
      </c>
      <c r="J426" s="4">
        <v>192</v>
      </c>
      <c r="K426" s="5" t="s">
        <v>1323</v>
      </c>
      <c r="L426" s="5" t="s">
        <v>705</v>
      </c>
    </row>
    <row r="427" spans="1:12" x14ac:dyDescent="0.35">
      <c r="A427" s="1" t="s">
        <v>1324</v>
      </c>
      <c r="B427" s="2" t="s">
        <v>1325</v>
      </c>
      <c r="C427" s="2" t="s">
        <v>25</v>
      </c>
      <c r="D427" s="2" t="s">
        <v>21</v>
      </c>
      <c r="E427" s="3">
        <v>45377</v>
      </c>
      <c r="F427" s="3">
        <v>45377</v>
      </c>
      <c r="G427" s="3">
        <v>45379</v>
      </c>
      <c r="H427" s="3">
        <v>45379</v>
      </c>
      <c r="I427" s="2">
        <v>2</v>
      </c>
      <c r="J427" s="4">
        <v>0</v>
      </c>
      <c r="K427" s="5" t="s">
        <v>1326</v>
      </c>
      <c r="L427" s="5" t="s">
        <v>27</v>
      </c>
    </row>
    <row r="428" spans="1:12" ht="130.5" x14ac:dyDescent="0.35">
      <c r="A428" s="1" t="s">
        <v>1327</v>
      </c>
      <c r="B428" s="2" t="s">
        <v>1328</v>
      </c>
      <c r="C428" s="2" t="s">
        <v>25</v>
      </c>
      <c r="D428" s="2" t="s">
        <v>21</v>
      </c>
      <c r="E428" s="3">
        <v>45377</v>
      </c>
      <c r="F428" s="3">
        <v>45559</v>
      </c>
      <c r="G428" s="3">
        <v>45559</v>
      </c>
      <c r="H428" s="3">
        <v>45559</v>
      </c>
      <c r="I428" s="2">
        <v>182</v>
      </c>
      <c r="J428" s="4">
        <v>0</v>
      </c>
      <c r="K428" s="5" t="s">
        <v>1329</v>
      </c>
      <c r="L428" s="5" t="s">
        <v>735</v>
      </c>
    </row>
    <row r="429" spans="1:12" ht="29" x14ac:dyDescent="0.35">
      <c r="A429" s="1" t="s">
        <v>1330</v>
      </c>
      <c r="B429" s="2" t="s">
        <v>1331</v>
      </c>
      <c r="C429" s="2" t="s">
        <v>33</v>
      </c>
      <c r="D429" s="2" t="s">
        <v>21</v>
      </c>
      <c r="E429" s="3">
        <v>45377</v>
      </c>
      <c r="F429" s="3">
        <v>45394</v>
      </c>
      <c r="G429" s="3">
        <v>45398</v>
      </c>
      <c r="H429" s="3">
        <v>45398</v>
      </c>
      <c r="I429" s="2">
        <v>21</v>
      </c>
      <c r="J429" s="4">
        <v>0</v>
      </c>
      <c r="K429" s="5" t="s">
        <v>1332</v>
      </c>
      <c r="L429" s="5" t="s">
        <v>1333</v>
      </c>
    </row>
    <row r="430" spans="1:12" ht="43.5" x14ac:dyDescent="0.35">
      <c r="A430" s="1" t="s">
        <v>1334</v>
      </c>
      <c r="B430" s="2" t="s">
        <v>1335</v>
      </c>
      <c r="C430" s="2" t="s">
        <v>151</v>
      </c>
      <c r="D430" s="2" t="s">
        <v>15</v>
      </c>
      <c r="E430" s="3">
        <v>45377</v>
      </c>
      <c r="F430" s="3">
        <v>45384</v>
      </c>
      <c r="G430" s="7">
        <v>45412</v>
      </c>
      <c r="H430" s="7">
        <v>45412</v>
      </c>
      <c r="I430" s="2">
        <v>0</v>
      </c>
      <c r="J430" s="4">
        <v>0</v>
      </c>
      <c r="K430" s="5" t="s">
        <v>299</v>
      </c>
      <c r="L430" s="5" t="s">
        <v>1336</v>
      </c>
    </row>
    <row r="431" spans="1:12" ht="43.5" x14ac:dyDescent="0.35">
      <c r="A431" s="1" t="s">
        <v>1337</v>
      </c>
      <c r="B431" s="2" t="s">
        <v>1338</v>
      </c>
      <c r="C431" s="2" t="s">
        <v>38</v>
      </c>
      <c r="D431" s="2" t="s">
        <v>15</v>
      </c>
      <c r="E431" s="3">
        <v>45377</v>
      </c>
      <c r="F431" s="3">
        <v>45385</v>
      </c>
      <c r="G431" s="3">
        <v>45502</v>
      </c>
      <c r="H431" s="3">
        <v>45519</v>
      </c>
      <c r="I431" s="2">
        <v>125</v>
      </c>
      <c r="J431" s="4">
        <v>17</v>
      </c>
      <c r="K431" s="5" t="s">
        <v>1178</v>
      </c>
      <c r="L431" s="5" t="s">
        <v>63</v>
      </c>
    </row>
    <row r="432" spans="1:12" ht="130.5" x14ac:dyDescent="0.35">
      <c r="A432" s="1" t="s">
        <v>1339</v>
      </c>
      <c r="B432" s="2" t="s">
        <v>1340</v>
      </c>
      <c r="C432" s="2" t="s">
        <v>33</v>
      </c>
      <c r="D432" s="2" t="s">
        <v>21</v>
      </c>
      <c r="E432" s="3">
        <v>45376</v>
      </c>
      <c r="F432" s="3">
        <v>45484</v>
      </c>
      <c r="G432" s="3">
        <v>45483</v>
      </c>
      <c r="H432" s="3">
        <v>45483</v>
      </c>
      <c r="I432" s="2">
        <v>107</v>
      </c>
      <c r="J432" s="4">
        <v>0</v>
      </c>
      <c r="K432" s="5" t="s">
        <v>1341</v>
      </c>
      <c r="L432" s="5" t="s">
        <v>219</v>
      </c>
    </row>
    <row r="433" spans="1:12" ht="43.5" x14ac:dyDescent="0.35">
      <c r="A433" s="1" t="s">
        <v>1342</v>
      </c>
      <c r="B433" s="2" t="s">
        <v>1343</v>
      </c>
      <c r="C433" s="2" t="s">
        <v>33</v>
      </c>
      <c r="D433" s="2" t="s">
        <v>15</v>
      </c>
      <c r="E433" s="3">
        <v>45372</v>
      </c>
      <c r="F433" s="3">
        <v>45372</v>
      </c>
      <c r="G433" s="3">
        <v>45406</v>
      </c>
      <c r="H433" s="3">
        <v>45406</v>
      </c>
      <c r="I433" s="2">
        <v>34</v>
      </c>
      <c r="J433" s="4">
        <v>0</v>
      </c>
      <c r="K433" s="5" t="s">
        <v>268</v>
      </c>
      <c r="L433" s="5" t="s">
        <v>356</v>
      </c>
    </row>
    <row r="434" spans="1:12" ht="43.5" x14ac:dyDescent="0.35">
      <c r="A434" s="1" t="s">
        <v>1344</v>
      </c>
      <c r="B434" s="2" t="s">
        <v>1345</v>
      </c>
      <c r="C434" s="2" t="s">
        <v>33</v>
      </c>
      <c r="D434" s="2" t="s">
        <v>15</v>
      </c>
      <c r="E434" s="3">
        <v>45372</v>
      </c>
      <c r="F434" s="3">
        <v>45386</v>
      </c>
      <c r="G434" s="3">
        <v>45398</v>
      </c>
      <c r="H434" s="3">
        <v>45398</v>
      </c>
      <c r="I434" s="2">
        <v>26</v>
      </c>
      <c r="J434" s="4">
        <v>0</v>
      </c>
      <c r="K434" s="5" t="s">
        <v>1346</v>
      </c>
      <c r="L434" s="5" t="s">
        <v>67</v>
      </c>
    </row>
    <row r="435" spans="1:12" x14ac:dyDescent="0.35">
      <c r="A435" s="1" t="s">
        <v>1347</v>
      </c>
      <c r="B435" s="2" t="s">
        <v>1348</v>
      </c>
      <c r="C435" s="2" t="s">
        <v>38</v>
      </c>
      <c r="D435" s="2" t="s">
        <v>15</v>
      </c>
      <c r="E435" s="3">
        <v>45371</v>
      </c>
      <c r="F435" s="3">
        <v>45371</v>
      </c>
      <c r="G435" s="3">
        <v>45468</v>
      </c>
      <c r="H435" s="3">
        <v>45468</v>
      </c>
      <c r="I435" s="2">
        <v>97</v>
      </c>
      <c r="J435" s="4">
        <v>0</v>
      </c>
      <c r="K435" s="5" t="s">
        <v>191</v>
      </c>
      <c r="L435" s="5" t="s">
        <v>46</v>
      </c>
    </row>
    <row r="436" spans="1:12" ht="29" x14ac:dyDescent="0.35">
      <c r="A436" s="1" t="s">
        <v>1349</v>
      </c>
      <c r="B436" s="2" t="s">
        <v>1350</v>
      </c>
      <c r="C436" s="2" t="s">
        <v>33</v>
      </c>
      <c r="D436" s="2" t="s">
        <v>15</v>
      </c>
      <c r="E436" s="3">
        <v>45370</v>
      </c>
      <c r="F436" s="3">
        <v>45370</v>
      </c>
      <c r="G436" s="3">
        <v>45391</v>
      </c>
      <c r="H436" s="3">
        <v>45391</v>
      </c>
      <c r="I436" s="2">
        <v>21</v>
      </c>
      <c r="J436" s="4">
        <v>0</v>
      </c>
      <c r="K436" s="5" t="s">
        <v>1351</v>
      </c>
      <c r="L436" s="5" t="s">
        <v>17</v>
      </c>
    </row>
    <row r="437" spans="1:12" ht="116" x14ac:dyDescent="0.35">
      <c r="A437" s="1" t="s">
        <v>1352</v>
      </c>
      <c r="B437" s="2" t="s">
        <v>1353</v>
      </c>
      <c r="C437" s="2" t="s">
        <v>33</v>
      </c>
      <c r="D437" s="2" t="s">
        <v>15</v>
      </c>
      <c r="E437" s="3">
        <v>45369</v>
      </c>
      <c r="F437" s="3">
        <v>45407</v>
      </c>
      <c r="G437" s="3">
        <v>45415</v>
      </c>
      <c r="H437" s="3">
        <v>45415</v>
      </c>
      <c r="I437" s="2">
        <v>46</v>
      </c>
      <c r="J437" s="4">
        <v>0</v>
      </c>
      <c r="K437" s="5" t="s">
        <v>1354</v>
      </c>
      <c r="L437" s="5" t="s">
        <v>108</v>
      </c>
    </row>
    <row r="438" spans="1:12" ht="101.5" x14ac:dyDescent="0.35">
      <c r="A438" s="1" t="s">
        <v>1355</v>
      </c>
      <c r="B438" s="2" t="s">
        <v>1356</v>
      </c>
      <c r="C438" s="2" t="s">
        <v>20</v>
      </c>
      <c r="D438" s="2" t="s">
        <v>15</v>
      </c>
      <c r="E438" s="3">
        <v>45369</v>
      </c>
      <c r="F438" s="3">
        <v>45511</v>
      </c>
      <c r="G438" s="3">
        <v>45503</v>
      </c>
      <c r="H438" s="3">
        <v>45503</v>
      </c>
      <c r="I438" s="2">
        <v>134</v>
      </c>
      <c r="J438" s="4">
        <v>0</v>
      </c>
      <c r="K438" s="5" t="s">
        <v>396</v>
      </c>
      <c r="L438" s="5" t="s">
        <v>905</v>
      </c>
    </row>
    <row r="439" spans="1:12" ht="43.5" x14ac:dyDescent="0.35">
      <c r="A439" s="1" t="s">
        <v>1357</v>
      </c>
      <c r="B439" s="2" t="s">
        <v>1358</v>
      </c>
      <c r="C439" s="2" t="s">
        <v>20</v>
      </c>
      <c r="D439" s="2" t="s">
        <v>15</v>
      </c>
      <c r="E439" s="3">
        <v>45369</v>
      </c>
      <c r="F439" s="3">
        <v>45369</v>
      </c>
      <c r="G439" s="3">
        <v>45387</v>
      </c>
      <c r="H439" s="3">
        <v>45387</v>
      </c>
      <c r="I439" s="2">
        <v>18</v>
      </c>
      <c r="J439" s="4">
        <v>0</v>
      </c>
      <c r="K439" s="5" t="s">
        <v>39</v>
      </c>
      <c r="L439" s="5" t="s">
        <v>46</v>
      </c>
    </row>
    <row r="440" spans="1:12" ht="43.5" x14ac:dyDescent="0.35">
      <c r="A440" s="1" t="s">
        <v>1359</v>
      </c>
      <c r="B440" s="2" t="s">
        <v>1360</v>
      </c>
      <c r="C440" s="2" t="s">
        <v>20</v>
      </c>
      <c r="D440" s="2" t="s">
        <v>21</v>
      </c>
      <c r="E440" s="3">
        <v>45365</v>
      </c>
      <c r="F440" s="3">
        <v>45462</v>
      </c>
      <c r="G440" s="3">
        <v>45476</v>
      </c>
      <c r="H440" s="3">
        <v>45476</v>
      </c>
      <c r="I440" s="2">
        <v>111</v>
      </c>
      <c r="J440" s="4">
        <v>0</v>
      </c>
      <c r="K440" s="5" t="s">
        <v>378</v>
      </c>
      <c r="L440" s="5" t="s">
        <v>35</v>
      </c>
    </row>
    <row r="441" spans="1:12" ht="87" x14ac:dyDescent="0.35">
      <c r="A441" s="1" t="s">
        <v>1361</v>
      </c>
      <c r="B441" s="2" t="s">
        <v>1362</v>
      </c>
      <c r="C441" s="2" t="s">
        <v>38</v>
      </c>
      <c r="D441" s="2" t="s">
        <v>15</v>
      </c>
      <c r="E441" s="3">
        <v>45364</v>
      </c>
      <c r="F441" s="3">
        <v>45462</v>
      </c>
      <c r="G441" s="3">
        <v>45495</v>
      </c>
      <c r="H441" s="3">
        <v>45495</v>
      </c>
      <c r="I441" s="2">
        <v>131</v>
      </c>
      <c r="J441" s="4">
        <v>0</v>
      </c>
      <c r="K441" s="5" t="s">
        <v>1363</v>
      </c>
      <c r="L441" s="5" t="s">
        <v>67</v>
      </c>
    </row>
    <row r="442" spans="1:12" ht="58" x14ac:dyDescent="0.35">
      <c r="A442" s="1" t="s">
        <v>1364</v>
      </c>
      <c r="B442" s="2" t="s">
        <v>1365</v>
      </c>
      <c r="C442" s="2" t="s">
        <v>38</v>
      </c>
      <c r="D442" s="2" t="s">
        <v>15</v>
      </c>
      <c r="E442" s="3">
        <v>45364</v>
      </c>
      <c r="F442" s="3">
        <v>45401</v>
      </c>
      <c r="G442" s="3">
        <v>45406</v>
      </c>
      <c r="H442" s="3">
        <v>45406</v>
      </c>
      <c r="I442" s="2">
        <v>42</v>
      </c>
      <c r="J442" s="4">
        <v>0</v>
      </c>
      <c r="K442" s="5" t="s">
        <v>1366</v>
      </c>
      <c r="L442" s="5" t="s">
        <v>67</v>
      </c>
    </row>
    <row r="443" spans="1:12" ht="29" x14ac:dyDescent="0.35">
      <c r="A443" s="1" t="s">
        <v>1367</v>
      </c>
      <c r="B443" s="2" t="s">
        <v>1368</v>
      </c>
      <c r="C443" s="2" t="s">
        <v>33</v>
      </c>
      <c r="D443" s="2" t="s">
        <v>21</v>
      </c>
      <c r="E443" s="3">
        <v>45363</v>
      </c>
      <c r="F443" s="3">
        <v>45370</v>
      </c>
      <c r="G443" s="3">
        <v>45400</v>
      </c>
      <c r="H443" s="3">
        <v>45400</v>
      </c>
      <c r="I443" s="2">
        <v>37</v>
      </c>
      <c r="J443" s="4">
        <v>0</v>
      </c>
      <c r="K443" s="5" t="s">
        <v>211</v>
      </c>
      <c r="L443" s="5" t="s">
        <v>35</v>
      </c>
    </row>
    <row r="444" spans="1:12" ht="58" x14ac:dyDescent="0.35">
      <c r="A444" s="1" t="s">
        <v>1369</v>
      </c>
      <c r="B444" s="2" t="s">
        <v>1370</v>
      </c>
      <c r="C444" s="2" t="s">
        <v>38</v>
      </c>
      <c r="D444" s="2" t="s">
        <v>15</v>
      </c>
      <c r="E444" s="3">
        <v>45359</v>
      </c>
      <c r="F444" s="3">
        <v>45866</v>
      </c>
      <c r="G444" s="3">
        <v>45889</v>
      </c>
      <c r="H444" s="3">
        <v>45898</v>
      </c>
      <c r="I444" s="2">
        <v>530</v>
      </c>
      <c r="J444" s="4">
        <v>9</v>
      </c>
      <c r="K444" s="5" t="s">
        <v>107</v>
      </c>
      <c r="L444" s="5" t="s">
        <v>35</v>
      </c>
    </row>
    <row r="445" spans="1:12" ht="43.5" x14ac:dyDescent="0.35">
      <c r="A445" s="1" t="s">
        <v>1371</v>
      </c>
      <c r="B445" s="2" t="s">
        <v>1372</v>
      </c>
      <c r="C445" s="2" t="s">
        <v>33</v>
      </c>
      <c r="D445" s="2" t="s">
        <v>21</v>
      </c>
      <c r="E445" s="3">
        <v>45358</v>
      </c>
      <c r="F445" s="3">
        <v>45804</v>
      </c>
      <c r="G445" s="3">
        <v>45861</v>
      </c>
      <c r="H445" s="3">
        <v>45861</v>
      </c>
      <c r="I445" s="2">
        <v>503</v>
      </c>
      <c r="J445" s="4">
        <v>0</v>
      </c>
      <c r="K445" s="5" t="s">
        <v>1145</v>
      </c>
      <c r="L445" s="5" t="s">
        <v>664</v>
      </c>
    </row>
    <row r="446" spans="1:12" ht="246.5" x14ac:dyDescent="0.35">
      <c r="A446" s="1" t="s">
        <v>1373</v>
      </c>
      <c r="B446" s="2" t="s">
        <v>1374</v>
      </c>
      <c r="C446" s="2" t="s">
        <v>14</v>
      </c>
      <c r="D446" s="2" t="s">
        <v>21</v>
      </c>
      <c r="E446" s="3">
        <v>45358</v>
      </c>
      <c r="F446" s="3">
        <v>45818</v>
      </c>
      <c r="G446" s="3">
        <v>45845</v>
      </c>
      <c r="H446" s="3">
        <v>45870</v>
      </c>
      <c r="I446" s="2">
        <v>487</v>
      </c>
      <c r="J446" s="4">
        <v>25</v>
      </c>
      <c r="K446" s="5" t="s">
        <v>1375</v>
      </c>
      <c r="L446" s="5" t="s">
        <v>1376</v>
      </c>
    </row>
    <row r="447" spans="1:12" ht="159.5" x14ac:dyDescent="0.35">
      <c r="A447" s="1" t="s">
        <v>1377</v>
      </c>
      <c r="B447" s="2" t="s">
        <v>1378</v>
      </c>
      <c r="C447" s="2" t="s">
        <v>171</v>
      </c>
      <c r="D447" s="2" t="s">
        <v>15</v>
      </c>
      <c r="E447" s="3">
        <v>45357</v>
      </c>
      <c r="F447" s="3">
        <v>45428</v>
      </c>
      <c r="G447" s="3">
        <v>45474</v>
      </c>
      <c r="H447" s="3">
        <v>45474</v>
      </c>
      <c r="I447" s="2">
        <v>117</v>
      </c>
      <c r="J447" s="4">
        <v>0</v>
      </c>
      <c r="K447" s="5" t="s">
        <v>525</v>
      </c>
      <c r="L447" s="5" t="s">
        <v>460</v>
      </c>
    </row>
    <row r="448" spans="1:12" ht="409.5" x14ac:dyDescent="0.35">
      <c r="A448" s="1" t="s">
        <v>1379</v>
      </c>
      <c r="B448" s="2" t="s">
        <v>1380</v>
      </c>
      <c r="C448" s="2" t="s">
        <v>20</v>
      </c>
      <c r="D448" s="2" t="s">
        <v>15</v>
      </c>
      <c r="E448" s="3">
        <v>45355</v>
      </c>
      <c r="F448" s="3">
        <v>45881</v>
      </c>
      <c r="G448" s="3">
        <v>45727</v>
      </c>
      <c r="H448" s="3">
        <v>45884</v>
      </c>
      <c r="I448" s="2">
        <v>372</v>
      </c>
      <c r="J448" s="4">
        <v>157</v>
      </c>
      <c r="K448" s="5" t="s">
        <v>1381</v>
      </c>
      <c r="L448" s="5" t="s">
        <v>1382</v>
      </c>
    </row>
    <row r="449" spans="1:12" ht="29" x14ac:dyDescent="0.35">
      <c r="A449" s="1" t="s">
        <v>1383</v>
      </c>
      <c r="B449" s="2" t="s">
        <v>1384</v>
      </c>
      <c r="C449" s="2" t="s">
        <v>25</v>
      </c>
      <c r="D449" s="2" t="s">
        <v>15</v>
      </c>
      <c r="E449" s="3">
        <v>45355</v>
      </c>
      <c r="F449" s="3">
        <v>45376</v>
      </c>
      <c r="G449" s="3">
        <v>45408</v>
      </c>
      <c r="H449" s="3">
        <v>45408</v>
      </c>
      <c r="I449" s="2">
        <v>53</v>
      </c>
      <c r="J449" s="4">
        <v>0</v>
      </c>
      <c r="K449" s="5" t="s">
        <v>211</v>
      </c>
      <c r="L449" s="5" t="s">
        <v>35</v>
      </c>
    </row>
    <row r="450" spans="1:12" ht="101.5" x14ac:dyDescent="0.35">
      <c r="A450" s="1" t="s">
        <v>1385</v>
      </c>
      <c r="B450" s="2" t="s">
        <v>1386</v>
      </c>
      <c r="C450" s="2" t="s">
        <v>38</v>
      </c>
      <c r="D450" s="2" t="s">
        <v>21</v>
      </c>
      <c r="E450" s="3">
        <v>45354</v>
      </c>
      <c r="F450" s="3">
        <v>45575</v>
      </c>
      <c r="G450" s="3">
        <v>45600</v>
      </c>
      <c r="H450" s="3">
        <v>45600</v>
      </c>
      <c r="I450" s="2">
        <v>246</v>
      </c>
      <c r="J450" s="4">
        <v>0</v>
      </c>
      <c r="K450" s="5" t="s">
        <v>456</v>
      </c>
      <c r="L450" s="5" t="s">
        <v>71</v>
      </c>
    </row>
    <row r="451" spans="1:12" ht="409.5" x14ac:dyDescent="0.35">
      <c r="A451" s="1" t="s">
        <v>1387</v>
      </c>
      <c r="B451" s="2" t="s">
        <v>1388</v>
      </c>
      <c r="C451" s="2" t="s">
        <v>14</v>
      </c>
      <c r="D451" s="2" t="s">
        <v>21</v>
      </c>
      <c r="E451" s="3">
        <v>45353</v>
      </c>
      <c r="F451" s="3">
        <v>46127</v>
      </c>
      <c r="G451" s="3">
        <v>45568</v>
      </c>
      <c r="H451" s="3">
        <v>45568</v>
      </c>
      <c r="I451" s="2">
        <v>215</v>
      </c>
      <c r="J451" s="4">
        <v>0</v>
      </c>
      <c r="K451" s="5" t="s">
        <v>1389</v>
      </c>
      <c r="L451" s="5" t="s">
        <v>1390</v>
      </c>
    </row>
    <row r="452" spans="1:12" ht="101.5" x14ac:dyDescent="0.35">
      <c r="A452" s="1" t="s">
        <v>1391</v>
      </c>
      <c r="B452" s="2" t="s">
        <v>1392</v>
      </c>
      <c r="C452" s="2" t="s">
        <v>284</v>
      </c>
      <c r="D452" s="2" t="s">
        <v>21</v>
      </c>
      <c r="E452" s="3">
        <v>45356</v>
      </c>
      <c r="F452" s="3">
        <v>45840</v>
      </c>
      <c r="G452" s="3">
        <v>45901</v>
      </c>
      <c r="H452" s="3">
        <v>45901</v>
      </c>
      <c r="I452" s="2">
        <v>545</v>
      </c>
      <c r="J452" s="4">
        <v>0</v>
      </c>
      <c r="K452" s="5" t="s">
        <v>1393</v>
      </c>
      <c r="L452" s="5" t="s">
        <v>1394</v>
      </c>
    </row>
    <row r="453" spans="1:12" ht="43.5" x14ac:dyDescent="0.35">
      <c r="A453" s="1" t="s">
        <v>1395</v>
      </c>
      <c r="B453" s="2" t="s">
        <v>1396</v>
      </c>
      <c r="C453" s="2" t="s">
        <v>38</v>
      </c>
      <c r="D453" s="2" t="s">
        <v>15</v>
      </c>
      <c r="E453" s="3">
        <v>45351</v>
      </c>
      <c r="F453" s="3">
        <v>45351</v>
      </c>
      <c r="G453" s="3">
        <v>45496</v>
      </c>
      <c r="H453" s="3">
        <v>45496</v>
      </c>
      <c r="I453" s="2">
        <v>145</v>
      </c>
      <c r="J453" s="4">
        <v>0</v>
      </c>
      <c r="K453" s="5" t="s">
        <v>1397</v>
      </c>
      <c r="L453" s="5" t="s">
        <v>1398</v>
      </c>
    </row>
    <row r="454" spans="1:12" ht="203" x14ac:dyDescent="0.35">
      <c r="A454" s="1" t="s">
        <v>1399</v>
      </c>
      <c r="B454" s="2" t="s">
        <v>1400</v>
      </c>
      <c r="C454" s="2" t="s">
        <v>20</v>
      </c>
      <c r="D454" s="2" t="s">
        <v>15</v>
      </c>
      <c r="E454" s="3">
        <v>45352</v>
      </c>
      <c r="F454" s="3">
        <v>45503</v>
      </c>
      <c r="G454" s="3">
        <v>45538</v>
      </c>
      <c r="H454" s="3">
        <v>45538</v>
      </c>
      <c r="I454" s="2">
        <v>186</v>
      </c>
      <c r="J454" s="4">
        <v>0</v>
      </c>
      <c r="K454" s="5" t="s">
        <v>1401</v>
      </c>
      <c r="L454" s="5" t="s">
        <v>1402</v>
      </c>
    </row>
    <row r="455" spans="1:12" ht="29" x14ac:dyDescent="0.35">
      <c r="A455" s="1" t="s">
        <v>1403</v>
      </c>
      <c r="B455" s="2" t="s">
        <v>1404</v>
      </c>
      <c r="C455" s="2" t="s">
        <v>171</v>
      </c>
      <c r="D455" s="2" t="s">
        <v>15</v>
      </c>
      <c r="E455" s="3">
        <v>45349</v>
      </c>
      <c r="F455" s="3">
        <v>45352</v>
      </c>
      <c r="G455" s="3">
        <v>45405</v>
      </c>
      <c r="H455" s="3">
        <v>45405</v>
      </c>
      <c r="I455" s="2">
        <v>56</v>
      </c>
      <c r="J455" s="4">
        <v>0</v>
      </c>
      <c r="K455" s="5" t="s">
        <v>239</v>
      </c>
      <c r="L455" s="5" t="s">
        <v>35</v>
      </c>
    </row>
    <row r="456" spans="1:12" ht="43.5" x14ac:dyDescent="0.35">
      <c r="A456" s="1" t="s">
        <v>1405</v>
      </c>
      <c r="B456" s="2" t="s">
        <v>1406</v>
      </c>
      <c r="C456" s="2" t="s">
        <v>33</v>
      </c>
      <c r="D456" s="2" t="s">
        <v>21</v>
      </c>
      <c r="E456" s="3">
        <v>45350</v>
      </c>
      <c r="F456" s="3">
        <v>45350</v>
      </c>
      <c r="G456" s="3">
        <v>45477</v>
      </c>
      <c r="H456" s="3">
        <v>45477</v>
      </c>
      <c r="I456" s="2">
        <v>127</v>
      </c>
      <c r="J456" s="4">
        <v>0</v>
      </c>
      <c r="K456" s="5" t="s">
        <v>1407</v>
      </c>
      <c r="L456" s="5" t="s">
        <v>1028</v>
      </c>
    </row>
    <row r="457" spans="1:12" ht="130.5" x14ac:dyDescent="0.35">
      <c r="A457" s="1" t="s">
        <v>1408</v>
      </c>
      <c r="B457" s="2" t="s">
        <v>1409</v>
      </c>
      <c r="C457" s="2" t="s">
        <v>38</v>
      </c>
      <c r="D457" s="2" t="s">
        <v>21</v>
      </c>
      <c r="E457" s="3">
        <v>45349</v>
      </c>
      <c r="F457" s="3">
        <v>45624</v>
      </c>
      <c r="G457" s="3">
        <v>45628</v>
      </c>
      <c r="H457" s="3">
        <v>45628</v>
      </c>
      <c r="I457" s="2">
        <v>279</v>
      </c>
      <c r="J457" s="4">
        <v>0</v>
      </c>
      <c r="K457" s="5" t="s">
        <v>400</v>
      </c>
      <c r="L457" s="5" t="s">
        <v>401</v>
      </c>
    </row>
    <row r="458" spans="1:12" ht="101.5" x14ac:dyDescent="0.35">
      <c r="A458" s="1" t="s">
        <v>1410</v>
      </c>
      <c r="B458" s="2" t="s">
        <v>1411</v>
      </c>
      <c r="C458" s="2" t="s">
        <v>38</v>
      </c>
      <c r="D458" s="2" t="s">
        <v>21</v>
      </c>
      <c r="E458" s="3">
        <v>45349</v>
      </c>
      <c r="F458" s="3">
        <v>45538</v>
      </c>
      <c r="G458" s="3">
        <v>45565</v>
      </c>
      <c r="H458" s="3">
        <v>45565</v>
      </c>
      <c r="I458" s="2">
        <v>216</v>
      </c>
      <c r="J458" s="4">
        <v>0</v>
      </c>
      <c r="K458" s="5" t="s">
        <v>456</v>
      </c>
      <c r="L458" s="5" t="s">
        <v>71</v>
      </c>
    </row>
    <row r="459" spans="1:12" ht="29" x14ac:dyDescent="0.35">
      <c r="A459" s="1" t="s">
        <v>1412</v>
      </c>
      <c r="B459" s="2" t="s">
        <v>1413</v>
      </c>
      <c r="C459" s="2" t="s">
        <v>38</v>
      </c>
      <c r="D459" s="2" t="s">
        <v>15</v>
      </c>
      <c r="E459" s="3">
        <v>45346</v>
      </c>
      <c r="F459" s="3">
        <v>45421</v>
      </c>
      <c r="G459" s="3">
        <v>45443</v>
      </c>
      <c r="H459" s="3">
        <v>45443</v>
      </c>
      <c r="I459" s="2">
        <v>97</v>
      </c>
      <c r="J459" s="4">
        <v>0</v>
      </c>
      <c r="K459" s="5" t="s">
        <v>239</v>
      </c>
      <c r="L459" s="5" t="s">
        <v>1414</v>
      </c>
    </row>
    <row r="460" spans="1:12" ht="130.5" x14ac:dyDescent="0.35">
      <c r="A460" s="1" t="s">
        <v>1415</v>
      </c>
      <c r="B460" s="2" t="s">
        <v>1416</v>
      </c>
      <c r="C460" s="2" t="s">
        <v>20</v>
      </c>
      <c r="D460" s="2" t="s">
        <v>15</v>
      </c>
      <c r="E460" s="3">
        <v>45345</v>
      </c>
      <c r="F460" s="3">
        <v>45350</v>
      </c>
      <c r="G460" s="3">
        <v>45645</v>
      </c>
      <c r="H460" s="3">
        <v>45645</v>
      </c>
      <c r="I460" s="2">
        <v>300</v>
      </c>
      <c r="J460" s="4">
        <v>0</v>
      </c>
      <c r="K460" s="5" t="s">
        <v>946</v>
      </c>
      <c r="L460" s="5" t="s">
        <v>1417</v>
      </c>
    </row>
    <row r="461" spans="1:12" ht="29" x14ac:dyDescent="0.35">
      <c r="A461" s="1" t="s">
        <v>1418</v>
      </c>
      <c r="B461" s="2" t="s">
        <v>1419</v>
      </c>
      <c r="C461" s="2" t="s">
        <v>38</v>
      </c>
      <c r="D461" s="2" t="s">
        <v>21</v>
      </c>
      <c r="E461" s="3">
        <v>45343</v>
      </c>
      <c r="F461" s="3">
        <v>45343</v>
      </c>
      <c r="G461" s="3">
        <v>45404</v>
      </c>
      <c r="H461" s="3">
        <v>45404</v>
      </c>
      <c r="I461" s="2">
        <v>61</v>
      </c>
      <c r="J461" s="4">
        <v>0</v>
      </c>
      <c r="K461" s="5" t="s">
        <v>268</v>
      </c>
      <c r="L461" s="5" t="s">
        <v>17</v>
      </c>
    </row>
    <row r="462" spans="1:12" ht="87" x14ac:dyDescent="0.35">
      <c r="A462" s="1" t="s">
        <v>1420</v>
      </c>
      <c r="B462" s="2" t="s">
        <v>1421</v>
      </c>
      <c r="C462" s="2" t="s">
        <v>20</v>
      </c>
      <c r="D462" s="2" t="s">
        <v>21</v>
      </c>
      <c r="E462" s="3">
        <v>45341</v>
      </c>
      <c r="F462" s="3">
        <v>45716</v>
      </c>
      <c r="G462" s="3">
        <v>45737</v>
      </c>
      <c r="H462" s="3">
        <v>45737</v>
      </c>
      <c r="I462" s="2">
        <v>396</v>
      </c>
      <c r="J462" s="4">
        <v>0</v>
      </c>
      <c r="K462" s="5" t="s">
        <v>218</v>
      </c>
      <c r="L462" s="5" t="s">
        <v>219</v>
      </c>
    </row>
    <row r="463" spans="1:12" ht="203" x14ac:dyDescent="0.35">
      <c r="A463" s="1" t="s">
        <v>1422</v>
      </c>
      <c r="B463" s="2" t="s">
        <v>1423</v>
      </c>
      <c r="C463" s="2" t="s">
        <v>38</v>
      </c>
      <c r="D463" s="2" t="s">
        <v>15</v>
      </c>
      <c r="E463" s="3">
        <v>45335</v>
      </c>
      <c r="F463" s="3">
        <v>46080</v>
      </c>
      <c r="G463" s="3">
        <v>45489</v>
      </c>
      <c r="H463" s="3">
        <v>45520</v>
      </c>
      <c r="I463" s="2">
        <v>154</v>
      </c>
      <c r="J463" s="4">
        <v>31</v>
      </c>
      <c r="K463" s="5" t="s">
        <v>1424</v>
      </c>
      <c r="L463" s="5" t="s">
        <v>1425</v>
      </c>
    </row>
    <row r="464" spans="1:12" ht="72.5" x14ac:dyDescent="0.35">
      <c r="A464" s="1" t="s">
        <v>1426</v>
      </c>
      <c r="B464" s="2" t="s">
        <v>1427</v>
      </c>
      <c r="C464" s="2" t="s">
        <v>20</v>
      </c>
      <c r="D464" s="2" t="s">
        <v>15</v>
      </c>
      <c r="E464" s="3">
        <v>45335</v>
      </c>
      <c r="F464" s="3">
        <v>45335</v>
      </c>
      <c r="G464" s="3">
        <v>45582</v>
      </c>
      <c r="H464" s="3">
        <v>45582</v>
      </c>
      <c r="I464" s="2">
        <v>247</v>
      </c>
      <c r="J464" s="4">
        <v>0</v>
      </c>
      <c r="K464" s="5" t="s">
        <v>52</v>
      </c>
      <c r="L464" s="5" t="s">
        <v>115</v>
      </c>
    </row>
    <row r="465" spans="1:12" ht="101.5" x14ac:dyDescent="0.35">
      <c r="A465" s="1" t="s">
        <v>1428</v>
      </c>
      <c r="B465" s="2" t="s">
        <v>1429</v>
      </c>
      <c r="C465" s="2" t="s">
        <v>25</v>
      </c>
      <c r="D465" s="2" t="s">
        <v>21</v>
      </c>
      <c r="E465" s="3">
        <v>45334</v>
      </c>
      <c r="F465" s="3">
        <v>45601</v>
      </c>
      <c r="G465" s="3">
        <v>45658</v>
      </c>
      <c r="H465" s="3">
        <v>45663</v>
      </c>
      <c r="I465" s="2">
        <v>324</v>
      </c>
      <c r="J465" s="4">
        <v>5</v>
      </c>
      <c r="K465" s="5" t="s">
        <v>456</v>
      </c>
      <c r="L465" s="5" t="s">
        <v>71</v>
      </c>
    </row>
    <row r="466" spans="1:12" ht="159.5" x14ac:dyDescent="0.35">
      <c r="A466" s="1" t="s">
        <v>1430</v>
      </c>
      <c r="B466" s="2" t="s">
        <v>1431</v>
      </c>
      <c r="C466" s="2" t="s">
        <v>33</v>
      </c>
      <c r="D466" s="2" t="s">
        <v>21</v>
      </c>
      <c r="E466" s="3">
        <v>45334</v>
      </c>
      <c r="F466" s="3">
        <v>45386</v>
      </c>
      <c r="G466" s="3">
        <v>45387</v>
      </c>
      <c r="H466" s="3">
        <v>45387</v>
      </c>
      <c r="I466" s="2">
        <v>53</v>
      </c>
      <c r="J466" s="4">
        <v>0</v>
      </c>
      <c r="K466" s="5" t="s">
        <v>756</v>
      </c>
      <c r="L466" s="5" t="s">
        <v>1432</v>
      </c>
    </row>
    <row r="467" spans="1:12" ht="29" x14ac:dyDescent="0.35">
      <c r="A467" s="1" t="s">
        <v>1433</v>
      </c>
      <c r="B467" s="2" t="s">
        <v>1434</v>
      </c>
      <c r="C467" s="2" t="s">
        <v>33</v>
      </c>
      <c r="D467" s="2" t="s">
        <v>15</v>
      </c>
      <c r="E467" s="3">
        <v>45330</v>
      </c>
      <c r="F467" s="3">
        <v>45330</v>
      </c>
      <c r="G467" s="3">
        <v>45474</v>
      </c>
      <c r="H467" s="3">
        <v>45474</v>
      </c>
      <c r="I467" s="2">
        <v>144</v>
      </c>
      <c r="J467" s="4">
        <v>0</v>
      </c>
      <c r="K467" s="5" t="s">
        <v>58</v>
      </c>
      <c r="L467" s="5" t="s">
        <v>17</v>
      </c>
    </row>
    <row r="468" spans="1:12" ht="43.5" x14ac:dyDescent="0.35">
      <c r="A468" s="1" t="s">
        <v>1435</v>
      </c>
      <c r="B468" s="2" t="s">
        <v>1436</v>
      </c>
      <c r="C468" s="2" t="s">
        <v>25</v>
      </c>
      <c r="D468" s="2" t="s">
        <v>21</v>
      </c>
      <c r="E468" s="3">
        <v>45330</v>
      </c>
      <c r="F468" s="3">
        <v>45883</v>
      </c>
      <c r="G468" s="3">
        <v>45874</v>
      </c>
      <c r="H468" s="3">
        <v>45888</v>
      </c>
      <c r="I468" s="2">
        <v>544</v>
      </c>
      <c r="J468" s="4">
        <v>14</v>
      </c>
      <c r="K468" s="5" t="s">
        <v>70</v>
      </c>
      <c r="L468" s="5" t="s">
        <v>67</v>
      </c>
    </row>
    <row r="469" spans="1:12" ht="159.5" x14ac:dyDescent="0.35">
      <c r="A469" s="1" t="s">
        <v>1437</v>
      </c>
      <c r="B469" s="2" t="s">
        <v>1438</v>
      </c>
      <c r="C469" s="2" t="s">
        <v>20</v>
      </c>
      <c r="D469" s="2" t="s">
        <v>21</v>
      </c>
      <c r="E469" s="3">
        <v>45328</v>
      </c>
      <c r="F469" s="3">
        <v>45824</v>
      </c>
      <c r="G469" s="3">
        <v>45848</v>
      </c>
      <c r="H469" s="3">
        <v>45848</v>
      </c>
      <c r="I469" s="2">
        <v>520</v>
      </c>
      <c r="J469" s="4">
        <v>0</v>
      </c>
      <c r="K469" s="5" t="s">
        <v>1439</v>
      </c>
      <c r="L469" s="5" t="s">
        <v>1440</v>
      </c>
    </row>
    <row r="470" spans="1:12" ht="43.5" x14ac:dyDescent="0.35">
      <c r="A470" s="1" t="s">
        <v>1441</v>
      </c>
      <c r="B470" s="2" t="s">
        <v>1442</v>
      </c>
      <c r="C470" s="2" t="s">
        <v>20</v>
      </c>
      <c r="D470" s="2" t="s">
        <v>21</v>
      </c>
      <c r="E470" s="3">
        <v>45324</v>
      </c>
      <c r="F470" s="3">
        <v>45506</v>
      </c>
      <c r="G470" s="3">
        <v>45467</v>
      </c>
      <c r="H470" s="3">
        <v>45467</v>
      </c>
      <c r="I470" s="2">
        <v>143</v>
      </c>
      <c r="J470" s="4">
        <v>0</v>
      </c>
      <c r="K470" s="5" t="s">
        <v>70</v>
      </c>
      <c r="L470" s="5" t="s">
        <v>59</v>
      </c>
    </row>
    <row r="471" spans="1:12" ht="29" x14ac:dyDescent="0.35">
      <c r="A471" s="1" t="s">
        <v>1443</v>
      </c>
      <c r="B471" s="2" t="s">
        <v>1444</v>
      </c>
      <c r="C471" s="2" t="s">
        <v>151</v>
      </c>
      <c r="D471" s="2" t="s">
        <v>15</v>
      </c>
      <c r="E471" s="3">
        <v>45330</v>
      </c>
      <c r="F471" s="3">
        <v>45372</v>
      </c>
      <c r="G471" s="3">
        <v>45393</v>
      </c>
      <c r="H471" s="3">
        <v>45393</v>
      </c>
      <c r="I471" s="2">
        <v>63</v>
      </c>
      <c r="J471" s="4">
        <v>0</v>
      </c>
      <c r="K471" s="5" t="s">
        <v>1445</v>
      </c>
      <c r="L471" s="5" t="s">
        <v>35</v>
      </c>
    </row>
    <row r="472" spans="1:12" ht="43.5" x14ac:dyDescent="0.35">
      <c r="A472" s="1" t="s">
        <v>1446</v>
      </c>
      <c r="B472" s="2" t="s">
        <v>1447</v>
      </c>
      <c r="C472" s="2" t="s">
        <v>171</v>
      </c>
      <c r="D472" s="2" t="s">
        <v>21</v>
      </c>
      <c r="E472" s="3">
        <v>45324</v>
      </c>
      <c r="F472" s="3">
        <v>45324</v>
      </c>
      <c r="G472" s="3">
        <v>45442</v>
      </c>
      <c r="H472" s="3">
        <v>45442</v>
      </c>
      <c r="I472" s="2">
        <v>118</v>
      </c>
      <c r="J472" s="4">
        <v>0</v>
      </c>
      <c r="K472" s="5" t="s">
        <v>1448</v>
      </c>
      <c r="L472" s="5" t="s">
        <v>356</v>
      </c>
    </row>
    <row r="473" spans="1:12" ht="203" x14ac:dyDescent="0.35">
      <c r="A473" s="1" t="s">
        <v>1449</v>
      </c>
      <c r="B473" s="2" t="s">
        <v>1450</v>
      </c>
      <c r="C473" s="2" t="s">
        <v>20</v>
      </c>
      <c r="D473" s="2" t="s">
        <v>15</v>
      </c>
      <c r="E473" s="3">
        <v>45324</v>
      </c>
      <c r="F473" s="3">
        <v>45881</v>
      </c>
      <c r="G473" s="3">
        <v>45545</v>
      </c>
      <c r="H473" s="3">
        <v>45679</v>
      </c>
      <c r="I473" s="2">
        <v>221</v>
      </c>
      <c r="J473" s="4">
        <v>134</v>
      </c>
      <c r="K473" s="5" t="s">
        <v>885</v>
      </c>
      <c r="L473" s="5" t="s">
        <v>1451</v>
      </c>
    </row>
    <row r="474" spans="1:12" ht="29" x14ac:dyDescent="0.35">
      <c r="A474" s="1" t="s">
        <v>1452</v>
      </c>
      <c r="B474" s="2" t="s">
        <v>1453</v>
      </c>
      <c r="C474" s="2" t="s">
        <v>38</v>
      </c>
      <c r="D474" s="2" t="s">
        <v>15</v>
      </c>
      <c r="E474" s="3">
        <v>45322</v>
      </c>
      <c r="F474" s="3">
        <v>45322</v>
      </c>
      <c r="G474" s="3">
        <v>45474</v>
      </c>
      <c r="H474" s="3">
        <v>45474</v>
      </c>
      <c r="I474" s="2">
        <v>152</v>
      </c>
      <c r="J474" s="4">
        <v>0</v>
      </c>
      <c r="K474" s="5" t="s">
        <v>296</v>
      </c>
      <c r="L474" s="5" t="s">
        <v>1246</v>
      </c>
    </row>
    <row r="475" spans="1:12" ht="159.5" x14ac:dyDescent="0.35">
      <c r="A475" s="1" t="s">
        <v>1454</v>
      </c>
      <c r="B475" s="2" t="s">
        <v>1455</v>
      </c>
      <c r="C475" s="2" t="s">
        <v>151</v>
      </c>
      <c r="D475" s="2" t="s">
        <v>21</v>
      </c>
      <c r="E475" s="3">
        <v>45320</v>
      </c>
      <c r="F475" s="3">
        <v>46002</v>
      </c>
      <c r="G475" s="3">
        <v>45456</v>
      </c>
      <c r="H475" s="3">
        <v>45456</v>
      </c>
      <c r="I475" s="2">
        <v>136</v>
      </c>
      <c r="J475" s="4">
        <v>0</v>
      </c>
      <c r="K475" s="5" t="s">
        <v>525</v>
      </c>
      <c r="L475" s="5" t="s">
        <v>460</v>
      </c>
    </row>
    <row r="476" spans="1:12" ht="145" x14ac:dyDescent="0.35">
      <c r="A476" s="1" t="s">
        <v>1456</v>
      </c>
      <c r="B476" s="2" t="s">
        <v>1457</v>
      </c>
      <c r="C476" s="2" t="s">
        <v>171</v>
      </c>
      <c r="D476" s="2" t="s">
        <v>21</v>
      </c>
      <c r="E476" s="3">
        <v>45320</v>
      </c>
      <c r="F476" s="3">
        <v>45348</v>
      </c>
      <c r="G476" s="3">
        <v>45413</v>
      </c>
      <c r="H476" s="3">
        <v>45413</v>
      </c>
      <c r="I476" s="2">
        <v>93</v>
      </c>
      <c r="J476" s="4">
        <v>0</v>
      </c>
      <c r="K476" s="5" t="s">
        <v>1458</v>
      </c>
      <c r="L476" s="5" t="s">
        <v>1459</v>
      </c>
    </row>
    <row r="477" spans="1:12" ht="348" x14ac:dyDescent="0.35">
      <c r="A477" s="1" t="s">
        <v>1460</v>
      </c>
      <c r="B477" s="2" t="s">
        <v>1461</v>
      </c>
      <c r="C477" s="2" t="s">
        <v>38</v>
      </c>
      <c r="D477" s="2" t="s">
        <v>15</v>
      </c>
      <c r="E477" s="3">
        <v>45320</v>
      </c>
      <c r="F477" s="3">
        <v>45511</v>
      </c>
      <c r="G477" s="3">
        <v>45560</v>
      </c>
      <c r="H477" s="3">
        <v>45590</v>
      </c>
      <c r="I477" s="2">
        <v>240</v>
      </c>
      <c r="J477" s="4">
        <v>30</v>
      </c>
      <c r="K477" s="5" t="s">
        <v>793</v>
      </c>
      <c r="L477" s="5" t="s">
        <v>67</v>
      </c>
    </row>
    <row r="478" spans="1:12" ht="101.5" x14ac:dyDescent="0.35">
      <c r="A478" s="1" t="s">
        <v>1462</v>
      </c>
      <c r="B478" s="2" t="s">
        <v>1463</v>
      </c>
      <c r="C478" s="2" t="s">
        <v>33</v>
      </c>
      <c r="D478" s="2" t="s">
        <v>21</v>
      </c>
      <c r="E478" s="3">
        <v>45317</v>
      </c>
      <c r="F478" s="3">
        <v>45429</v>
      </c>
      <c r="G478" s="3">
        <v>45435</v>
      </c>
      <c r="H478" s="3">
        <v>45435</v>
      </c>
      <c r="I478" s="2">
        <v>118</v>
      </c>
      <c r="J478" s="4">
        <v>0</v>
      </c>
      <c r="K478" s="5" t="s">
        <v>1464</v>
      </c>
      <c r="L478" s="5" t="s">
        <v>1465</v>
      </c>
    </row>
    <row r="479" spans="1:12" ht="409.5" x14ac:dyDescent="0.35">
      <c r="A479" s="1" t="s">
        <v>1466</v>
      </c>
      <c r="B479" s="2" t="s">
        <v>1467</v>
      </c>
      <c r="C479" s="2" t="s">
        <v>38</v>
      </c>
      <c r="D479" s="2" t="s">
        <v>15</v>
      </c>
      <c r="E479" s="3">
        <v>45317</v>
      </c>
      <c r="F479" s="3">
        <v>45575</v>
      </c>
      <c r="G479" s="3">
        <v>45540</v>
      </c>
      <c r="H479" s="3">
        <v>45558</v>
      </c>
      <c r="I479" s="2">
        <v>223</v>
      </c>
      <c r="J479" s="4">
        <v>18</v>
      </c>
      <c r="K479" s="5" t="s">
        <v>1468</v>
      </c>
      <c r="L479" s="5" t="s">
        <v>175</v>
      </c>
    </row>
    <row r="480" spans="1:12" ht="43.5" x14ac:dyDescent="0.35">
      <c r="A480" s="1" t="s">
        <v>1469</v>
      </c>
      <c r="B480" s="2" t="s">
        <v>1470</v>
      </c>
      <c r="C480" s="2" t="s">
        <v>20</v>
      </c>
      <c r="D480" s="2" t="s">
        <v>15</v>
      </c>
      <c r="E480" s="3">
        <v>45315</v>
      </c>
      <c r="F480" s="3">
        <v>45315</v>
      </c>
      <c r="G480" s="3">
        <v>45440</v>
      </c>
      <c r="H480" s="3">
        <v>45440</v>
      </c>
      <c r="I480" s="2">
        <v>125</v>
      </c>
      <c r="J480" s="4">
        <v>0</v>
      </c>
      <c r="K480" s="5" t="s">
        <v>1471</v>
      </c>
      <c r="L480" s="5" t="s">
        <v>356</v>
      </c>
    </row>
    <row r="481" spans="1:12" ht="246.5" x14ac:dyDescent="0.35">
      <c r="A481" s="1" t="s">
        <v>1472</v>
      </c>
      <c r="B481" s="2" t="s">
        <v>1473</v>
      </c>
      <c r="C481" s="2" t="s">
        <v>20</v>
      </c>
      <c r="D481" s="2" t="s">
        <v>21</v>
      </c>
      <c r="E481" s="3">
        <v>45313</v>
      </c>
      <c r="F481" s="3">
        <v>45961</v>
      </c>
      <c r="G481" s="3">
        <v>45520</v>
      </c>
      <c r="H481" s="3">
        <v>45614</v>
      </c>
      <c r="I481" s="2">
        <v>207</v>
      </c>
      <c r="J481" s="4">
        <v>94</v>
      </c>
      <c r="K481" s="5" t="s">
        <v>1474</v>
      </c>
      <c r="L481" s="5" t="s">
        <v>1475</v>
      </c>
    </row>
    <row r="482" spans="1:12" ht="159.5" x14ac:dyDescent="0.35">
      <c r="A482" s="1" t="s">
        <v>1476</v>
      </c>
      <c r="B482" s="2" t="s">
        <v>1477</v>
      </c>
      <c r="C482" s="2" t="s">
        <v>38</v>
      </c>
      <c r="D482" s="2" t="s">
        <v>21</v>
      </c>
      <c r="E482" s="3">
        <v>45307</v>
      </c>
      <c r="F482" s="3">
        <v>45603</v>
      </c>
      <c r="G482" s="3">
        <v>45706</v>
      </c>
      <c r="H482" s="3">
        <v>45706</v>
      </c>
      <c r="I482" s="2">
        <v>399</v>
      </c>
      <c r="J482" s="4">
        <v>0</v>
      </c>
      <c r="K482" s="5" t="s">
        <v>1478</v>
      </c>
      <c r="L482" s="5" t="s">
        <v>236</v>
      </c>
    </row>
    <row r="483" spans="1:12" x14ac:dyDescent="0.35">
      <c r="A483" s="1" t="s">
        <v>1479</v>
      </c>
      <c r="B483" s="2" t="s">
        <v>1480</v>
      </c>
      <c r="C483" s="2" t="s">
        <v>38</v>
      </c>
      <c r="D483" s="2" t="s">
        <v>15</v>
      </c>
      <c r="E483" s="3">
        <v>45301</v>
      </c>
      <c r="F483" s="3">
        <v>45301</v>
      </c>
      <c r="G483" s="3">
        <v>45467</v>
      </c>
      <c r="H483" s="3">
        <v>45467</v>
      </c>
      <c r="I483" s="2">
        <v>166</v>
      </c>
      <c r="J483" s="4">
        <v>0</v>
      </c>
      <c r="K483" s="5" t="s">
        <v>191</v>
      </c>
      <c r="L483" s="5" t="s">
        <v>46</v>
      </c>
    </row>
    <row r="484" spans="1:12" ht="261" x14ac:dyDescent="0.35">
      <c r="A484" s="1" t="s">
        <v>1481</v>
      </c>
      <c r="B484" s="2" t="s">
        <v>1482</v>
      </c>
      <c r="C484" s="2" t="s">
        <v>25</v>
      </c>
      <c r="D484" s="2" t="s">
        <v>15</v>
      </c>
      <c r="E484" s="3">
        <v>45299</v>
      </c>
      <c r="F484" s="3">
        <v>45538</v>
      </c>
      <c r="G484" s="3">
        <v>45558</v>
      </c>
      <c r="H484" s="3">
        <v>45600</v>
      </c>
      <c r="I484" s="2">
        <v>259</v>
      </c>
      <c r="J484" s="4">
        <v>42</v>
      </c>
      <c r="K484" s="5" t="s">
        <v>657</v>
      </c>
      <c r="L484" s="5" t="s">
        <v>1483</v>
      </c>
    </row>
    <row r="485" spans="1:12" ht="101.5" x14ac:dyDescent="0.35">
      <c r="A485" s="1" t="s">
        <v>1484</v>
      </c>
      <c r="B485" s="2" t="s">
        <v>1485</v>
      </c>
      <c r="C485" s="2" t="s">
        <v>14</v>
      </c>
      <c r="D485" s="2" t="s">
        <v>21</v>
      </c>
      <c r="E485" s="3">
        <v>45296</v>
      </c>
      <c r="F485" s="3">
        <v>45859</v>
      </c>
      <c r="G485" s="3">
        <v>45929</v>
      </c>
      <c r="H485" s="3">
        <v>45929</v>
      </c>
      <c r="I485" s="2">
        <v>633</v>
      </c>
      <c r="J485" s="4">
        <v>0</v>
      </c>
      <c r="K485" s="5" t="s">
        <v>1486</v>
      </c>
      <c r="L485" s="5" t="s">
        <v>108</v>
      </c>
    </row>
    <row r="486" spans="1:12" ht="116" x14ac:dyDescent="0.35">
      <c r="A486" s="1" t="s">
        <v>1487</v>
      </c>
      <c r="B486" s="2" t="s">
        <v>1488</v>
      </c>
      <c r="C486" s="2" t="s">
        <v>33</v>
      </c>
      <c r="D486" s="2" t="s">
        <v>15</v>
      </c>
      <c r="E486" s="3">
        <v>45294</v>
      </c>
      <c r="F486" s="3">
        <v>45399</v>
      </c>
      <c r="G486" s="3">
        <v>45406</v>
      </c>
      <c r="H486" s="3">
        <v>45406</v>
      </c>
      <c r="I486" s="2">
        <v>112</v>
      </c>
      <c r="J486" s="4">
        <v>0</v>
      </c>
      <c r="K486" s="5" t="s">
        <v>1489</v>
      </c>
      <c r="L486" s="5" t="s">
        <v>108</v>
      </c>
    </row>
    <row r="487" spans="1:12" ht="333.5" x14ac:dyDescent="0.35">
      <c r="A487" s="1" t="s">
        <v>1490</v>
      </c>
      <c r="B487" s="2" t="s">
        <v>1491</v>
      </c>
      <c r="C487" s="2" t="s">
        <v>151</v>
      </c>
      <c r="D487" s="2" t="s">
        <v>21</v>
      </c>
      <c r="E487" s="3">
        <v>45282</v>
      </c>
      <c r="F487" s="3">
        <v>45607</v>
      </c>
      <c r="G487" s="3">
        <v>45611</v>
      </c>
      <c r="H487" s="3">
        <v>45611</v>
      </c>
      <c r="I487" s="2">
        <v>329</v>
      </c>
      <c r="J487" s="4">
        <v>0</v>
      </c>
      <c r="K487" s="5" t="s">
        <v>1492</v>
      </c>
      <c r="L487" s="5" t="s">
        <v>1493</v>
      </c>
    </row>
    <row r="488" spans="1:12" ht="203" x14ac:dyDescent="0.35">
      <c r="A488" s="1" t="s">
        <v>1494</v>
      </c>
      <c r="B488" s="2" t="s">
        <v>1495</v>
      </c>
      <c r="C488" s="2" t="s">
        <v>14</v>
      </c>
      <c r="D488" s="2" t="s">
        <v>15</v>
      </c>
      <c r="E488" s="3">
        <v>45281</v>
      </c>
      <c r="F488" s="3">
        <v>45863</v>
      </c>
      <c r="G488" s="3">
        <v>46094</v>
      </c>
      <c r="H488" s="3">
        <v>46113</v>
      </c>
      <c r="I488" s="2">
        <v>813</v>
      </c>
      <c r="J488" s="4">
        <v>19</v>
      </c>
      <c r="K488" s="5" t="s">
        <v>1496</v>
      </c>
      <c r="L488" s="5" t="s">
        <v>488</v>
      </c>
    </row>
    <row r="489" spans="1:12" ht="217.5" x14ac:dyDescent="0.35">
      <c r="A489" s="1" t="s">
        <v>1497</v>
      </c>
      <c r="B489" s="2" t="s">
        <v>1498</v>
      </c>
      <c r="C489" s="2" t="s">
        <v>14</v>
      </c>
      <c r="D489" s="2" t="s">
        <v>15</v>
      </c>
      <c r="E489" s="3">
        <v>45280</v>
      </c>
      <c r="F489" s="3">
        <v>45546</v>
      </c>
      <c r="G489" s="3">
        <v>45600</v>
      </c>
      <c r="H489" s="3">
        <v>45600</v>
      </c>
      <c r="I489" s="2">
        <v>320</v>
      </c>
      <c r="J489" s="4">
        <v>0</v>
      </c>
      <c r="K489" s="5" t="s">
        <v>1499</v>
      </c>
      <c r="L489" s="5" t="s">
        <v>774</v>
      </c>
    </row>
    <row r="490" spans="1:12" ht="87" x14ac:dyDescent="0.35">
      <c r="A490" s="1" t="s">
        <v>1500</v>
      </c>
      <c r="B490" s="2" t="s">
        <v>1501</v>
      </c>
      <c r="C490" s="2" t="s">
        <v>20</v>
      </c>
      <c r="D490" s="2" t="s">
        <v>21</v>
      </c>
      <c r="E490" s="3">
        <v>45278</v>
      </c>
      <c r="F490" s="3">
        <v>45450</v>
      </c>
      <c r="G490" s="3">
        <v>45505</v>
      </c>
      <c r="H490" s="3">
        <v>45505</v>
      </c>
      <c r="I490" s="2">
        <v>227</v>
      </c>
      <c r="J490" s="4">
        <v>0</v>
      </c>
      <c r="K490" s="5" t="s">
        <v>1502</v>
      </c>
      <c r="L490" s="5" t="s">
        <v>1503</v>
      </c>
    </row>
    <row r="491" spans="1:12" ht="203" x14ac:dyDescent="0.35">
      <c r="A491" s="1" t="s">
        <v>1504</v>
      </c>
      <c r="B491" s="2" t="s">
        <v>1505</v>
      </c>
      <c r="C491" s="2" t="s">
        <v>20</v>
      </c>
      <c r="D491" s="2" t="s">
        <v>15</v>
      </c>
      <c r="E491" s="3">
        <v>45275</v>
      </c>
      <c r="F491" s="3">
        <v>45411</v>
      </c>
      <c r="G491" s="3">
        <v>45357</v>
      </c>
      <c r="H491" s="3">
        <v>45357</v>
      </c>
      <c r="I491" s="2">
        <v>82</v>
      </c>
      <c r="J491" s="4">
        <v>0</v>
      </c>
      <c r="K491" s="5" t="s">
        <v>885</v>
      </c>
      <c r="L491" s="5" t="s">
        <v>668</v>
      </c>
    </row>
    <row r="492" spans="1:12" ht="130.5" x14ac:dyDescent="0.35">
      <c r="A492" s="1" t="s">
        <v>1506</v>
      </c>
      <c r="B492" s="2" t="s">
        <v>1507</v>
      </c>
      <c r="C492" s="2" t="s">
        <v>33</v>
      </c>
      <c r="D492" s="2" t="s">
        <v>21</v>
      </c>
      <c r="E492" s="3">
        <v>45268</v>
      </c>
      <c r="F492" s="3">
        <v>45337</v>
      </c>
      <c r="G492" s="3">
        <v>45517</v>
      </c>
      <c r="H492" s="3">
        <v>45517</v>
      </c>
      <c r="I492" s="2">
        <v>249</v>
      </c>
      <c r="J492" s="4">
        <v>0</v>
      </c>
      <c r="K492" s="5" t="s">
        <v>946</v>
      </c>
      <c r="L492" s="5" t="s">
        <v>1508</v>
      </c>
    </row>
    <row r="493" spans="1:12" ht="43.5" x14ac:dyDescent="0.35">
      <c r="A493" s="1" t="s">
        <v>1509</v>
      </c>
      <c r="B493" s="2" t="s">
        <v>1510</v>
      </c>
      <c r="C493" s="2" t="s">
        <v>14</v>
      </c>
      <c r="D493" s="2" t="s">
        <v>21</v>
      </c>
      <c r="E493" s="3">
        <v>45301</v>
      </c>
      <c r="F493" s="3">
        <v>45454</v>
      </c>
      <c r="G493" s="3">
        <v>45502</v>
      </c>
      <c r="H493" s="3">
        <v>45565</v>
      </c>
      <c r="I493" s="2">
        <v>201</v>
      </c>
      <c r="J493" s="4">
        <v>63</v>
      </c>
      <c r="K493" s="5" t="s">
        <v>1511</v>
      </c>
      <c r="L493" s="5" t="s">
        <v>35</v>
      </c>
    </row>
    <row r="494" spans="1:12" ht="43.5" x14ac:dyDescent="0.35">
      <c r="A494" s="1" t="s">
        <v>1512</v>
      </c>
      <c r="B494" s="2" t="s">
        <v>1513</v>
      </c>
      <c r="C494" s="2" t="s">
        <v>20</v>
      </c>
      <c r="D494" s="2" t="s">
        <v>21</v>
      </c>
      <c r="E494" s="3">
        <v>45264</v>
      </c>
      <c r="F494" s="3">
        <v>45831</v>
      </c>
      <c r="G494" s="3">
        <v>45848</v>
      </c>
      <c r="H494" s="3">
        <v>45848</v>
      </c>
      <c r="I494" s="2">
        <v>584</v>
      </c>
      <c r="J494" s="4">
        <v>0</v>
      </c>
      <c r="K494" s="5" t="s">
        <v>551</v>
      </c>
      <c r="L494" s="5" t="s">
        <v>35</v>
      </c>
    </row>
    <row r="495" spans="1:12" ht="130.5" x14ac:dyDescent="0.35">
      <c r="A495" s="1" t="s">
        <v>1514</v>
      </c>
      <c r="B495" s="2" t="s">
        <v>1515</v>
      </c>
      <c r="C495" s="2" t="s">
        <v>20</v>
      </c>
      <c r="D495" s="2" t="s">
        <v>15</v>
      </c>
      <c r="E495" s="3">
        <v>45254</v>
      </c>
      <c r="F495" s="3">
        <v>45393</v>
      </c>
      <c r="G495" s="3">
        <v>45518</v>
      </c>
      <c r="H495" s="3">
        <v>45518</v>
      </c>
      <c r="I495" s="2">
        <v>264</v>
      </c>
      <c r="J495" s="4">
        <v>0</v>
      </c>
      <c r="K495" s="5" t="s">
        <v>946</v>
      </c>
      <c r="L495" s="5" t="s">
        <v>1417</v>
      </c>
    </row>
    <row r="496" spans="1:12" ht="203" x14ac:dyDescent="0.35">
      <c r="A496" s="1" t="s">
        <v>1516</v>
      </c>
      <c r="B496" s="2" t="s">
        <v>1517</v>
      </c>
      <c r="C496" s="2" t="s">
        <v>33</v>
      </c>
      <c r="D496" s="2" t="s">
        <v>15</v>
      </c>
      <c r="E496" s="3">
        <v>45253</v>
      </c>
      <c r="F496" s="3">
        <v>45401</v>
      </c>
      <c r="G496" s="3">
        <v>45426</v>
      </c>
      <c r="H496" s="3">
        <v>45478</v>
      </c>
      <c r="I496" s="2">
        <v>173</v>
      </c>
      <c r="J496" s="4">
        <v>52</v>
      </c>
      <c r="K496" s="5" t="s">
        <v>1518</v>
      </c>
      <c r="L496" s="5" t="s">
        <v>1519</v>
      </c>
    </row>
    <row r="497" spans="1:12" ht="409.5" x14ac:dyDescent="0.35">
      <c r="A497" s="1" t="s">
        <v>1520</v>
      </c>
      <c r="B497" s="2" t="s">
        <v>1521</v>
      </c>
      <c r="C497" s="2" t="s">
        <v>38</v>
      </c>
      <c r="D497" s="2" t="s">
        <v>15</v>
      </c>
      <c r="E497" s="3">
        <v>45252</v>
      </c>
      <c r="F497" s="3">
        <v>45625</v>
      </c>
      <c r="G497" s="3">
        <v>45365</v>
      </c>
      <c r="H497" s="3">
        <v>45627</v>
      </c>
      <c r="I497" s="2">
        <v>113</v>
      </c>
      <c r="J497" s="4">
        <v>262</v>
      </c>
      <c r="K497" s="5" t="s">
        <v>1522</v>
      </c>
      <c r="L497" s="5" t="s">
        <v>1523</v>
      </c>
    </row>
    <row r="498" spans="1:12" ht="58" x14ac:dyDescent="0.35">
      <c r="A498" s="1" t="s">
        <v>1524</v>
      </c>
      <c r="B498" s="2" t="s">
        <v>1525</v>
      </c>
      <c r="C498" s="2" t="s">
        <v>33</v>
      </c>
      <c r="D498" s="2" t="s">
        <v>21</v>
      </c>
      <c r="E498" s="3">
        <v>45252</v>
      </c>
      <c r="F498" s="3">
        <v>45464</v>
      </c>
      <c r="G498" s="3">
        <v>45492</v>
      </c>
      <c r="H498" s="3">
        <v>45492</v>
      </c>
      <c r="I498" s="2">
        <v>240</v>
      </c>
      <c r="J498" s="4">
        <v>0</v>
      </c>
      <c r="K498" s="5" t="s">
        <v>299</v>
      </c>
      <c r="L498" s="5" t="s">
        <v>1526</v>
      </c>
    </row>
    <row r="499" spans="1:12" ht="29" x14ac:dyDescent="0.35">
      <c r="A499" s="1" t="s">
        <v>1527</v>
      </c>
      <c r="B499" s="2" t="s">
        <v>1528</v>
      </c>
      <c r="C499" s="2" t="s">
        <v>38</v>
      </c>
      <c r="D499" s="2" t="s">
        <v>21</v>
      </c>
      <c r="E499" s="3">
        <v>45251</v>
      </c>
      <c r="F499" s="3">
        <v>45252</v>
      </c>
      <c r="G499" s="3">
        <v>45392</v>
      </c>
      <c r="H499" s="3">
        <v>45392</v>
      </c>
      <c r="I499" s="2">
        <v>141</v>
      </c>
      <c r="J499" s="4">
        <v>0</v>
      </c>
      <c r="K499" s="5" t="s">
        <v>1529</v>
      </c>
      <c r="L499" s="5" t="s">
        <v>35</v>
      </c>
    </row>
    <row r="500" spans="1:12" ht="116" x14ac:dyDescent="0.35">
      <c r="A500" s="1" t="s">
        <v>1530</v>
      </c>
      <c r="B500" s="2" t="s">
        <v>1531</v>
      </c>
      <c r="C500" s="2" t="s">
        <v>25</v>
      </c>
      <c r="D500" s="2" t="s">
        <v>21</v>
      </c>
      <c r="E500" s="3">
        <v>45250</v>
      </c>
      <c r="F500" s="3">
        <v>45685</v>
      </c>
      <c r="G500" s="3">
        <v>45539</v>
      </c>
      <c r="H500" s="3">
        <v>45568</v>
      </c>
      <c r="I500" s="2">
        <v>289</v>
      </c>
      <c r="J500" s="4">
        <v>29</v>
      </c>
      <c r="K500" s="5" t="s">
        <v>1532</v>
      </c>
      <c r="L500" s="5" t="s">
        <v>108</v>
      </c>
    </row>
    <row r="501" spans="1:12" ht="87" x14ac:dyDescent="0.35">
      <c r="A501" s="1" t="s">
        <v>1533</v>
      </c>
      <c r="B501" s="2" t="s">
        <v>1534</v>
      </c>
      <c r="C501" s="2" t="s">
        <v>38</v>
      </c>
      <c r="D501" s="2" t="s">
        <v>15</v>
      </c>
      <c r="E501" s="3">
        <v>45244</v>
      </c>
      <c r="F501" s="3">
        <v>45553</v>
      </c>
      <c r="G501" s="3">
        <v>45524</v>
      </c>
      <c r="H501" s="3">
        <v>45580</v>
      </c>
      <c r="I501" s="2">
        <v>280</v>
      </c>
      <c r="J501" s="4">
        <v>56</v>
      </c>
      <c r="K501" s="5" t="s">
        <v>1535</v>
      </c>
      <c r="L501" s="5" t="s">
        <v>1536</v>
      </c>
    </row>
    <row r="502" spans="1:12" ht="130.5" x14ac:dyDescent="0.35">
      <c r="A502" s="1" t="s">
        <v>1537</v>
      </c>
      <c r="B502" s="2" t="s">
        <v>1538</v>
      </c>
      <c r="C502" s="2" t="s">
        <v>20</v>
      </c>
      <c r="D502" s="2" t="s">
        <v>15</v>
      </c>
      <c r="E502" s="3">
        <v>45240</v>
      </c>
      <c r="F502" s="3">
        <v>45581</v>
      </c>
      <c r="G502" s="3">
        <v>45546</v>
      </c>
      <c r="H502" s="3">
        <v>45607</v>
      </c>
      <c r="I502" s="2">
        <v>306</v>
      </c>
      <c r="J502" s="4">
        <v>61</v>
      </c>
      <c r="K502" s="5" t="s">
        <v>946</v>
      </c>
      <c r="L502" s="5" t="s">
        <v>1539</v>
      </c>
    </row>
    <row r="503" spans="1:12" ht="29" x14ac:dyDescent="0.35">
      <c r="A503" s="1" t="s">
        <v>1540</v>
      </c>
      <c r="B503" s="2" t="s">
        <v>1541</v>
      </c>
      <c r="C503" s="2" t="s">
        <v>33</v>
      </c>
      <c r="D503" s="2" t="s">
        <v>15</v>
      </c>
      <c r="E503" s="3">
        <v>45243</v>
      </c>
      <c r="F503" s="3">
        <v>45243</v>
      </c>
      <c r="G503" s="3">
        <v>45411</v>
      </c>
      <c r="H503" s="3">
        <v>45411</v>
      </c>
      <c r="I503" s="2">
        <v>168</v>
      </c>
      <c r="J503" s="4">
        <v>0</v>
      </c>
      <c r="K503" s="5" t="s">
        <v>641</v>
      </c>
      <c r="L503" s="5" t="s">
        <v>17</v>
      </c>
    </row>
    <row r="504" spans="1:12" ht="409.5" x14ac:dyDescent="0.35">
      <c r="A504" s="1" t="s">
        <v>1542</v>
      </c>
      <c r="B504" s="2" t="s">
        <v>1543</v>
      </c>
      <c r="C504" s="2" t="s">
        <v>20</v>
      </c>
      <c r="D504" s="2" t="s">
        <v>21</v>
      </c>
      <c r="E504" s="3">
        <v>45238</v>
      </c>
      <c r="F504" s="3">
        <v>46120</v>
      </c>
      <c r="G504" s="3">
        <v>45933</v>
      </c>
      <c r="H504" s="3">
        <v>46135</v>
      </c>
      <c r="I504" s="2">
        <v>695</v>
      </c>
      <c r="J504" s="4">
        <v>202</v>
      </c>
      <c r="K504" s="5" t="s">
        <v>1544</v>
      </c>
      <c r="L504" s="5" t="s">
        <v>1545</v>
      </c>
    </row>
    <row r="505" spans="1:12" ht="58" x14ac:dyDescent="0.35">
      <c r="A505" s="1" t="s">
        <v>1546</v>
      </c>
      <c r="B505" s="2" t="s">
        <v>1547</v>
      </c>
      <c r="C505" s="2" t="s">
        <v>38</v>
      </c>
      <c r="D505" s="2" t="s">
        <v>15</v>
      </c>
      <c r="E505" s="3">
        <v>45237</v>
      </c>
      <c r="F505" s="3">
        <v>45384</v>
      </c>
      <c r="G505" s="3">
        <v>45499</v>
      </c>
      <c r="H505" s="3">
        <v>45499</v>
      </c>
      <c r="I505" s="2">
        <v>262</v>
      </c>
      <c r="J505" s="4">
        <v>0</v>
      </c>
      <c r="K505" s="5" t="s">
        <v>1548</v>
      </c>
      <c r="L505" s="5" t="s">
        <v>122</v>
      </c>
    </row>
    <row r="506" spans="1:12" ht="333.5" x14ac:dyDescent="0.35">
      <c r="A506" s="1" t="s">
        <v>1549</v>
      </c>
      <c r="B506" s="2" t="s">
        <v>1550</v>
      </c>
      <c r="C506" s="2" t="s">
        <v>33</v>
      </c>
      <c r="D506" s="2" t="s">
        <v>21</v>
      </c>
      <c r="E506" s="3">
        <v>45233</v>
      </c>
      <c r="F506" s="3">
        <v>45846</v>
      </c>
      <c r="G506" s="3">
        <v>45498</v>
      </c>
      <c r="H506" s="3">
        <v>45670</v>
      </c>
      <c r="I506" s="2">
        <v>265</v>
      </c>
      <c r="J506" s="4">
        <v>172</v>
      </c>
      <c r="K506" s="5" t="s">
        <v>1551</v>
      </c>
      <c r="L506" s="5" t="s">
        <v>668</v>
      </c>
    </row>
    <row r="507" spans="1:12" ht="203" x14ac:dyDescent="0.35">
      <c r="A507" s="1" t="s">
        <v>1552</v>
      </c>
      <c r="B507" s="2" t="s">
        <v>1553</v>
      </c>
      <c r="C507" s="2" t="s">
        <v>306</v>
      </c>
      <c r="D507" s="2" t="s">
        <v>21</v>
      </c>
      <c r="E507" s="3">
        <v>45230</v>
      </c>
      <c r="F507" s="3">
        <v>45377</v>
      </c>
      <c r="G507" s="3">
        <v>45376</v>
      </c>
      <c r="H507" s="3">
        <v>45412</v>
      </c>
      <c r="I507" s="2">
        <v>146</v>
      </c>
      <c r="J507" s="4">
        <v>36</v>
      </c>
      <c r="K507" s="5" t="s">
        <v>1554</v>
      </c>
      <c r="L507" s="5" t="s">
        <v>1555</v>
      </c>
    </row>
    <row r="508" spans="1:12" ht="409.5" x14ac:dyDescent="0.35">
      <c r="A508" s="1" t="s">
        <v>1556</v>
      </c>
      <c r="B508" s="2" t="s">
        <v>1557</v>
      </c>
      <c r="C508" s="2" t="s">
        <v>20</v>
      </c>
      <c r="D508" s="2" t="s">
        <v>21</v>
      </c>
      <c r="E508" s="3">
        <v>45230</v>
      </c>
      <c r="F508" s="3">
        <v>46066</v>
      </c>
      <c r="G508" s="3">
        <v>46045</v>
      </c>
      <c r="H508" s="3">
        <v>46113</v>
      </c>
      <c r="I508" s="2">
        <v>815</v>
      </c>
      <c r="J508" s="4">
        <v>68</v>
      </c>
      <c r="K508" s="5" t="s">
        <v>1558</v>
      </c>
      <c r="L508" s="5" t="s">
        <v>1559</v>
      </c>
    </row>
    <row r="509" spans="1:12" ht="72.5" x14ac:dyDescent="0.35">
      <c r="A509" s="1" t="s">
        <v>1560</v>
      </c>
      <c r="B509" s="2" t="s">
        <v>1561</v>
      </c>
      <c r="C509" s="2" t="s">
        <v>25</v>
      </c>
      <c r="D509" s="2" t="s">
        <v>21</v>
      </c>
      <c r="E509" s="3">
        <v>45229</v>
      </c>
      <c r="F509" s="3">
        <v>45482</v>
      </c>
      <c r="G509" s="3">
        <v>46035</v>
      </c>
      <c r="H509" s="3">
        <v>46035</v>
      </c>
      <c r="I509" s="2">
        <v>806</v>
      </c>
      <c r="J509" s="4">
        <v>0</v>
      </c>
      <c r="K509" s="5" t="s">
        <v>1562</v>
      </c>
      <c r="L509" s="5" t="s">
        <v>112</v>
      </c>
    </row>
    <row r="510" spans="1:12" ht="72.5" x14ac:dyDescent="0.35">
      <c r="A510" s="1" t="s">
        <v>1563</v>
      </c>
      <c r="B510" s="2" t="s">
        <v>1564</v>
      </c>
      <c r="C510" s="2" t="s">
        <v>171</v>
      </c>
      <c r="D510" s="2" t="s">
        <v>21</v>
      </c>
      <c r="E510" s="3">
        <v>45229</v>
      </c>
      <c r="F510" s="3">
        <v>45236</v>
      </c>
      <c r="G510" s="3">
        <v>45537</v>
      </c>
      <c r="H510" s="3">
        <v>45537</v>
      </c>
      <c r="I510" s="2">
        <v>308</v>
      </c>
      <c r="J510" s="4">
        <v>0</v>
      </c>
      <c r="K510" s="5" t="s">
        <v>111</v>
      </c>
      <c r="L510" s="5" t="s">
        <v>112</v>
      </c>
    </row>
    <row r="511" spans="1:12" ht="409.5" x14ac:dyDescent="0.35">
      <c r="A511" s="1" t="s">
        <v>1565</v>
      </c>
      <c r="B511" s="2" t="s">
        <v>1566</v>
      </c>
      <c r="C511" s="2" t="s">
        <v>20</v>
      </c>
      <c r="D511" s="2" t="s">
        <v>21</v>
      </c>
      <c r="E511" s="3">
        <v>45226</v>
      </c>
      <c r="F511" s="3">
        <v>45862</v>
      </c>
      <c r="G511" s="3">
        <v>45915</v>
      </c>
      <c r="H511" s="3">
        <v>45915</v>
      </c>
      <c r="I511" s="2">
        <v>689</v>
      </c>
      <c r="J511" s="4">
        <v>0</v>
      </c>
      <c r="K511" s="5" t="s">
        <v>1567</v>
      </c>
      <c r="L511" s="5" t="s">
        <v>1568</v>
      </c>
    </row>
    <row r="512" spans="1:12" ht="406" x14ac:dyDescent="0.35">
      <c r="A512" s="1" t="s">
        <v>1569</v>
      </c>
      <c r="B512" s="2" t="s">
        <v>1570</v>
      </c>
      <c r="C512" s="2" t="s">
        <v>38</v>
      </c>
      <c r="D512" s="2" t="s">
        <v>15</v>
      </c>
      <c r="E512" s="3">
        <v>45223</v>
      </c>
      <c r="F512" s="3">
        <v>45876</v>
      </c>
      <c r="G512" s="3">
        <v>45562</v>
      </c>
      <c r="H512" s="3">
        <v>45876</v>
      </c>
      <c r="I512" s="2">
        <v>339</v>
      </c>
      <c r="J512" s="4">
        <v>314</v>
      </c>
      <c r="K512" s="5" t="s">
        <v>1571</v>
      </c>
      <c r="L512" s="5" t="s">
        <v>1572</v>
      </c>
    </row>
    <row r="513" spans="1:12" ht="246.5" x14ac:dyDescent="0.35">
      <c r="A513" s="1" t="s">
        <v>1573</v>
      </c>
      <c r="B513" s="2" t="s">
        <v>1574</v>
      </c>
      <c r="C513" s="2" t="s">
        <v>151</v>
      </c>
      <c r="D513" s="2" t="s">
        <v>15</v>
      </c>
      <c r="E513" s="3">
        <v>45222</v>
      </c>
      <c r="F513" s="3">
        <v>46071</v>
      </c>
      <c r="G513" s="3">
        <v>45904</v>
      </c>
      <c r="H513" s="3">
        <v>46100</v>
      </c>
      <c r="I513" s="2">
        <v>682</v>
      </c>
      <c r="J513" s="4">
        <v>196</v>
      </c>
      <c r="K513" s="5" t="s">
        <v>1575</v>
      </c>
      <c r="L513" s="5" t="s">
        <v>1576</v>
      </c>
    </row>
    <row r="514" spans="1:12" ht="188.5" x14ac:dyDescent="0.35">
      <c r="A514" s="1" t="s">
        <v>1577</v>
      </c>
      <c r="B514" s="2" t="s">
        <v>1578</v>
      </c>
      <c r="C514" s="2" t="s">
        <v>14</v>
      </c>
      <c r="D514" s="2" t="s">
        <v>21</v>
      </c>
      <c r="E514" s="3">
        <v>45213</v>
      </c>
      <c r="F514" s="3">
        <v>45385</v>
      </c>
      <c r="G514" s="3">
        <v>45383</v>
      </c>
      <c r="H514" s="3">
        <v>45383</v>
      </c>
      <c r="I514" s="2">
        <v>170</v>
      </c>
      <c r="J514" s="4">
        <v>0</v>
      </c>
      <c r="K514" s="5" t="s">
        <v>1579</v>
      </c>
      <c r="L514" s="5" t="s">
        <v>488</v>
      </c>
    </row>
    <row r="515" spans="1:12" ht="72.5" x14ac:dyDescent="0.35">
      <c r="A515" s="1" t="s">
        <v>1580</v>
      </c>
      <c r="B515" s="2" t="s">
        <v>1581</v>
      </c>
      <c r="C515" s="2" t="s">
        <v>25</v>
      </c>
      <c r="D515" s="2" t="s">
        <v>21</v>
      </c>
      <c r="E515" s="3">
        <v>45212</v>
      </c>
      <c r="F515" s="3">
        <v>45404</v>
      </c>
      <c r="G515" s="3">
        <v>45414</v>
      </c>
      <c r="H515" s="3">
        <v>45414</v>
      </c>
      <c r="I515" s="2">
        <v>202</v>
      </c>
      <c r="J515" s="4">
        <v>0</v>
      </c>
      <c r="K515" s="5" t="s">
        <v>838</v>
      </c>
      <c r="L515" s="5" t="s">
        <v>1582</v>
      </c>
    </row>
    <row r="516" spans="1:12" ht="261" x14ac:dyDescent="0.35">
      <c r="A516" s="1" t="s">
        <v>1583</v>
      </c>
      <c r="B516" s="2" t="s">
        <v>1584</v>
      </c>
      <c r="C516" s="2" t="s">
        <v>1585</v>
      </c>
      <c r="D516" s="2" t="s">
        <v>21</v>
      </c>
      <c r="E516" s="3">
        <v>45211</v>
      </c>
      <c r="F516" s="3">
        <v>45889</v>
      </c>
      <c r="G516" s="3">
        <v>45250</v>
      </c>
      <c r="H516" s="3">
        <v>45932</v>
      </c>
      <c r="I516" s="2">
        <v>39</v>
      </c>
      <c r="J516" s="4">
        <v>682</v>
      </c>
      <c r="K516" s="5" t="s">
        <v>235</v>
      </c>
      <c r="L516" s="5" t="s">
        <v>1586</v>
      </c>
    </row>
    <row r="517" spans="1:12" ht="58" x14ac:dyDescent="0.35">
      <c r="A517" s="1" t="s">
        <v>1587</v>
      </c>
      <c r="B517" s="2" t="s">
        <v>1588</v>
      </c>
      <c r="C517" s="2" t="s">
        <v>25</v>
      </c>
      <c r="D517" s="2" t="s">
        <v>15</v>
      </c>
      <c r="E517" s="3">
        <v>45205</v>
      </c>
      <c r="F517" s="3">
        <v>45615</v>
      </c>
      <c r="G517" s="3">
        <v>45642</v>
      </c>
      <c r="H517" s="3">
        <v>45642</v>
      </c>
      <c r="I517" s="2">
        <v>437</v>
      </c>
      <c r="J517" s="4">
        <v>0</v>
      </c>
      <c r="K517" s="5" t="s">
        <v>1589</v>
      </c>
      <c r="L517" s="5" t="s">
        <v>1590</v>
      </c>
    </row>
    <row r="518" spans="1:12" ht="43.5" x14ac:dyDescent="0.35">
      <c r="A518" s="1" t="s">
        <v>1591</v>
      </c>
      <c r="B518" s="2" t="s">
        <v>1592</v>
      </c>
      <c r="C518" s="2" t="s">
        <v>20</v>
      </c>
      <c r="D518" s="2" t="s">
        <v>15</v>
      </c>
      <c r="E518" s="3">
        <v>45202</v>
      </c>
      <c r="F518" s="3">
        <v>45202</v>
      </c>
      <c r="G518" s="3">
        <v>45399</v>
      </c>
      <c r="H518" s="3">
        <v>45399</v>
      </c>
      <c r="I518" s="2">
        <v>197</v>
      </c>
      <c r="J518" s="4">
        <v>0</v>
      </c>
      <c r="K518" s="5" t="s">
        <v>1407</v>
      </c>
      <c r="L518" s="5" t="s">
        <v>17</v>
      </c>
    </row>
    <row r="519" spans="1:12" ht="29" x14ac:dyDescent="0.35">
      <c r="A519" s="1" t="s">
        <v>1593</v>
      </c>
      <c r="B519" s="2" t="s">
        <v>1594</v>
      </c>
      <c r="C519" s="2" t="s">
        <v>33</v>
      </c>
      <c r="D519" s="2" t="s">
        <v>15</v>
      </c>
      <c r="E519" s="3">
        <v>45202</v>
      </c>
      <c r="F519" s="3">
        <v>45202</v>
      </c>
      <c r="G519" s="3">
        <v>45642</v>
      </c>
      <c r="H519" s="3">
        <v>45642</v>
      </c>
      <c r="I519" s="2">
        <v>440</v>
      </c>
      <c r="J519" s="4">
        <v>0</v>
      </c>
      <c r="K519" s="5" t="s">
        <v>441</v>
      </c>
      <c r="L519" s="5" t="s">
        <v>17</v>
      </c>
    </row>
    <row r="520" spans="1:12" ht="159.5" x14ac:dyDescent="0.35">
      <c r="A520" s="1" t="s">
        <v>1595</v>
      </c>
      <c r="B520" s="2" t="s">
        <v>1596</v>
      </c>
      <c r="C520" s="2" t="s">
        <v>38</v>
      </c>
      <c r="D520" s="2" t="s">
        <v>21</v>
      </c>
      <c r="E520" s="3">
        <v>45199</v>
      </c>
      <c r="F520" s="3">
        <v>45464</v>
      </c>
      <c r="G520" s="3">
        <v>45505</v>
      </c>
      <c r="H520" s="3">
        <v>45505</v>
      </c>
      <c r="I520" s="2">
        <v>306</v>
      </c>
      <c r="J520" s="4">
        <v>0</v>
      </c>
      <c r="K520" s="5" t="s">
        <v>1597</v>
      </c>
      <c r="L520" s="5" t="s">
        <v>460</v>
      </c>
    </row>
    <row r="521" spans="1:12" ht="159.5" x14ac:dyDescent="0.35">
      <c r="A521" s="1" t="s">
        <v>1598</v>
      </c>
      <c r="B521" s="2" t="s">
        <v>1599</v>
      </c>
      <c r="C521" s="2" t="s">
        <v>20</v>
      </c>
      <c r="D521" s="2" t="s">
        <v>21</v>
      </c>
      <c r="E521" s="3">
        <v>45198</v>
      </c>
      <c r="F521" s="3">
        <v>45827</v>
      </c>
      <c r="G521" s="3">
        <v>45852</v>
      </c>
      <c r="H521" s="3">
        <v>45852</v>
      </c>
      <c r="I521" s="2">
        <v>654</v>
      </c>
      <c r="J521" s="4">
        <v>0</v>
      </c>
      <c r="K521" s="5" t="s">
        <v>1088</v>
      </c>
      <c r="L521" s="5" t="s">
        <v>1600</v>
      </c>
    </row>
    <row r="522" spans="1:12" ht="101.5" x14ac:dyDescent="0.35">
      <c r="A522" s="1" t="s">
        <v>1601</v>
      </c>
      <c r="B522" s="2" t="s">
        <v>1602</v>
      </c>
      <c r="C522" s="2" t="s">
        <v>25</v>
      </c>
      <c r="D522" s="2" t="s">
        <v>21</v>
      </c>
      <c r="E522" s="3">
        <v>45198</v>
      </c>
      <c r="F522" s="3">
        <v>45373</v>
      </c>
      <c r="G522" s="3">
        <v>45384</v>
      </c>
      <c r="H522" s="3">
        <v>45413</v>
      </c>
      <c r="I522" s="2">
        <v>186</v>
      </c>
      <c r="J522" s="4">
        <v>29</v>
      </c>
      <c r="K522" s="5" t="s">
        <v>400</v>
      </c>
      <c r="L522" s="5" t="s">
        <v>71</v>
      </c>
    </row>
    <row r="523" spans="1:12" ht="333.5" x14ac:dyDescent="0.35">
      <c r="A523" s="1" t="s">
        <v>1603</v>
      </c>
      <c r="B523" s="2" t="s">
        <v>1604</v>
      </c>
      <c r="C523" s="2" t="s">
        <v>284</v>
      </c>
      <c r="D523" s="2" t="s">
        <v>21</v>
      </c>
      <c r="E523" s="3">
        <v>45198</v>
      </c>
      <c r="F523" s="3">
        <v>46136</v>
      </c>
      <c r="G523" s="3">
        <v>45474</v>
      </c>
      <c r="H523" s="3">
        <v>46077</v>
      </c>
      <c r="I523" s="2">
        <v>276</v>
      </c>
      <c r="J523" s="4">
        <v>603</v>
      </c>
      <c r="K523" s="5" t="s">
        <v>1605</v>
      </c>
      <c r="L523" s="5" t="s">
        <v>915</v>
      </c>
    </row>
    <row r="524" spans="1:12" ht="101.5" x14ac:dyDescent="0.35">
      <c r="A524" s="1" t="s">
        <v>1606</v>
      </c>
      <c r="B524" s="2" t="s">
        <v>1607</v>
      </c>
      <c r="C524" s="2" t="s">
        <v>20</v>
      </c>
      <c r="D524" s="2" t="s">
        <v>21</v>
      </c>
      <c r="E524" s="3">
        <v>45205</v>
      </c>
      <c r="F524" s="3">
        <v>45432</v>
      </c>
      <c r="G524" s="3">
        <v>45358</v>
      </c>
      <c r="H524" s="3">
        <v>45449</v>
      </c>
      <c r="I524" s="2">
        <v>153</v>
      </c>
      <c r="J524" s="4">
        <v>91</v>
      </c>
      <c r="K524" s="5" t="s">
        <v>435</v>
      </c>
      <c r="L524" s="5" t="s">
        <v>1608</v>
      </c>
    </row>
    <row r="525" spans="1:12" ht="409.5" x14ac:dyDescent="0.35">
      <c r="A525" s="1" t="s">
        <v>1609</v>
      </c>
      <c r="B525" s="2" t="s">
        <v>1610</v>
      </c>
      <c r="C525" s="2" t="s">
        <v>20</v>
      </c>
      <c r="D525" s="2" t="s">
        <v>21</v>
      </c>
      <c r="E525" s="3">
        <v>45190</v>
      </c>
      <c r="F525" s="3">
        <v>45994</v>
      </c>
      <c r="G525" s="3">
        <v>45898</v>
      </c>
      <c r="H525" s="3">
        <v>46106</v>
      </c>
      <c r="I525" s="2">
        <v>708</v>
      </c>
      <c r="J525" s="4">
        <v>208</v>
      </c>
      <c r="K525" s="5" t="s">
        <v>1611</v>
      </c>
      <c r="L525" s="5" t="s">
        <v>1612</v>
      </c>
    </row>
    <row r="526" spans="1:12" ht="409.5" x14ac:dyDescent="0.35">
      <c r="A526" s="1" t="s">
        <v>1613</v>
      </c>
      <c r="B526" s="2" t="s">
        <v>1614</v>
      </c>
      <c r="C526" s="2" t="s">
        <v>20</v>
      </c>
      <c r="D526" s="2" t="s">
        <v>21</v>
      </c>
      <c r="E526" s="3">
        <v>45184</v>
      </c>
      <c r="F526" s="3">
        <v>46113</v>
      </c>
      <c r="G526" s="3">
        <v>45597</v>
      </c>
      <c r="H526" s="3">
        <v>46129</v>
      </c>
      <c r="I526" s="2">
        <v>413</v>
      </c>
      <c r="J526" s="4">
        <v>532</v>
      </c>
      <c r="K526" s="5" t="s">
        <v>1615</v>
      </c>
      <c r="L526" s="5" t="s">
        <v>1616</v>
      </c>
    </row>
    <row r="527" spans="1:12" ht="217.5" x14ac:dyDescent="0.35">
      <c r="A527" s="1" t="s">
        <v>1617</v>
      </c>
      <c r="B527" s="2" t="s">
        <v>1618</v>
      </c>
      <c r="C527" s="2" t="s">
        <v>38</v>
      </c>
      <c r="D527" s="2" t="s">
        <v>15</v>
      </c>
      <c r="E527" s="3">
        <v>45181</v>
      </c>
      <c r="F527" s="3">
        <v>46119</v>
      </c>
      <c r="G527" s="3">
        <v>45958</v>
      </c>
      <c r="H527" s="3">
        <v>46064</v>
      </c>
      <c r="I527" s="2">
        <v>777</v>
      </c>
      <c r="J527" s="4">
        <v>106</v>
      </c>
      <c r="K527" s="5" t="s">
        <v>1619</v>
      </c>
      <c r="L527" s="5" t="s">
        <v>1620</v>
      </c>
    </row>
    <row r="528" spans="1:12" ht="116" x14ac:dyDescent="0.35">
      <c r="A528" s="1" t="s">
        <v>1621</v>
      </c>
      <c r="B528" s="2" t="s">
        <v>1622</v>
      </c>
      <c r="C528" s="2" t="s">
        <v>20</v>
      </c>
      <c r="D528" s="2" t="s">
        <v>21</v>
      </c>
      <c r="E528" s="3">
        <v>45176</v>
      </c>
      <c r="F528" s="3">
        <v>46133</v>
      </c>
      <c r="G528" s="3">
        <v>46098</v>
      </c>
      <c r="H528" s="3">
        <v>46132</v>
      </c>
      <c r="I528" s="2">
        <v>922</v>
      </c>
      <c r="J528" s="4">
        <v>34</v>
      </c>
      <c r="K528" s="5" t="s">
        <v>1532</v>
      </c>
      <c r="L528" s="5" t="s">
        <v>735</v>
      </c>
    </row>
    <row r="529" spans="1:12" ht="43.5" x14ac:dyDescent="0.35">
      <c r="A529" s="1" t="s">
        <v>1623</v>
      </c>
      <c r="B529" s="2" t="s">
        <v>1624</v>
      </c>
      <c r="C529" s="2" t="s">
        <v>25</v>
      </c>
      <c r="D529" s="2" t="s">
        <v>15</v>
      </c>
      <c r="E529" s="3">
        <v>45175</v>
      </c>
      <c r="F529" s="3">
        <v>45175</v>
      </c>
      <c r="G529" s="3">
        <v>45531</v>
      </c>
      <c r="H529" s="3">
        <v>45531</v>
      </c>
      <c r="I529" s="2">
        <v>356</v>
      </c>
      <c r="J529" s="4">
        <v>0</v>
      </c>
      <c r="K529" s="5" t="s">
        <v>1407</v>
      </c>
      <c r="L529" s="5" t="s">
        <v>17</v>
      </c>
    </row>
    <row r="530" spans="1:12" ht="159.5" x14ac:dyDescent="0.35">
      <c r="A530" s="1" t="s">
        <v>1625</v>
      </c>
      <c r="B530" s="2" t="s">
        <v>1626</v>
      </c>
      <c r="C530" s="2" t="s">
        <v>38</v>
      </c>
      <c r="D530" s="2" t="s">
        <v>15</v>
      </c>
      <c r="E530" s="3">
        <v>45167</v>
      </c>
      <c r="F530" s="3">
        <v>45390</v>
      </c>
      <c r="G530" s="3">
        <v>45316</v>
      </c>
      <c r="H530" s="3">
        <v>45390</v>
      </c>
      <c r="I530" s="2">
        <v>149</v>
      </c>
      <c r="J530" s="4">
        <v>74</v>
      </c>
      <c r="K530" s="5" t="s">
        <v>806</v>
      </c>
      <c r="L530" s="5" t="s">
        <v>1627</v>
      </c>
    </row>
    <row r="531" spans="1:12" ht="290" x14ac:dyDescent="0.35">
      <c r="A531" s="1" t="s">
        <v>1628</v>
      </c>
      <c r="B531" s="2" t="s">
        <v>1629</v>
      </c>
      <c r="C531" s="2" t="s">
        <v>187</v>
      </c>
      <c r="D531" s="2" t="s">
        <v>21</v>
      </c>
      <c r="E531" s="3">
        <v>45163</v>
      </c>
      <c r="F531" s="3">
        <v>45947</v>
      </c>
      <c r="G531" s="3">
        <v>45524</v>
      </c>
      <c r="H531" s="3">
        <v>45959</v>
      </c>
      <c r="I531" s="2">
        <v>361</v>
      </c>
      <c r="J531" s="4">
        <v>435</v>
      </c>
      <c r="K531" s="5" t="s">
        <v>1630</v>
      </c>
      <c r="L531" s="5" t="s">
        <v>1631</v>
      </c>
    </row>
    <row r="532" spans="1:12" ht="217.5" x14ac:dyDescent="0.35">
      <c r="A532" s="1" t="s">
        <v>1632</v>
      </c>
      <c r="B532" s="2" t="s">
        <v>1633</v>
      </c>
      <c r="C532" s="2" t="s">
        <v>20</v>
      </c>
      <c r="D532" s="2" t="s">
        <v>21</v>
      </c>
      <c r="E532" s="3">
        <v>45162</v>
      </c>
      <c r="F532" s="3">
        <v>45639</v>
      </c>
      <c r="G532" s="3">
        <v>45680</v>
      </c>
      <c r="H532" s="3">
        <v>45680</v>
      </c>
      <c r="I532" s="2">
        <v>518</v>
      </c>
      <c r="J532" s="4">
        <v>0</v>
      </c>
      <c r="K532" s="5" t="s">
        <v>1634</v>
      </c>
      <c r="L532" s="5" t="s">
        <v>1635</v>
      </c>
    </row>
    <row r="533" spans="1:12" ht="29" x14ac:dyDescent="0.35">
      <c r="A533" s="1" t="s">
        <v>1636</v>
      </c>
      <c r="B533" s="2" t="s">
        <v>1637</v>
      </c>
      <c r="C533" s="2" t="s">
        <v>151</v>
      </c>
      <c r="D533" s="2" t="s">
        <v>21</v>
      </c>
      <c r="E533" s="3">
        <v>45156</v>
      </c>
      <c r="F533" s="3">
        <v>45391</v>
      </c>
      <c r="G533" s="3">
        <v>45175</v>
      </c>
      <c r="H533" s="3">
        <v>45474</v>
      </c>
      <c r="I533" s="2">
        <v>19</v>
      </c>
      <c r="J533" s="4">
        <v>299</v>
      </c>
      <c r="K533" s="5" t="s">
        <v>239</v>
      </c>
      <c r="L533" s="5" t="s">
        <v>35</v>
      </c>
    </row>
    <row r="534" spans="1:12" ht="217.5" x14ac:dyDescent="0.35">
      <c r="A534" s="1" t="s">
        <v>1638</v>
      </c>
      <c r="B534" s="2" t="s">
        <v>1639</v>
      </c>
      <c r="C534" s="2" t="s">
        <v>20</v>
      </c>
      <c r="D534" s="2" t="s">
        <v>21</v>
      </c>
      <c r="E534" s="3">
        <v>45154</v>
      </c>
      <c r="F534" s="3">
        <v>45397</v>
      </c>
      <c r="G534" s="3">
        <v>45422</v>
      </c>
      <c r="H534" s="3">
        <v>45422</v>
      </c>
      <c r="I534" s="2">
        <v>268</v>
      </c>
      <c r="J534" s="4">
        <v>0</v>
      </c>
      <c r="K534" s="5" t="s">
        <v>1640</v>
      </c>
      <c r="L534" s="5" t="s">
        <v>1641</v>
      </c>
    </row>
    <row r="535" spans="1:12" ht="188.5" x14ac:dyDescent="0.35">
      <c r="A535" s="1" t="s">
        <v>1642</v>
      </c>
      <c r="B535" s="2" t="s">
        <v>1643</v>
      </c>
      <c r="C535" s="2" t="s">
        <v>20</v>
      </c>
      <c r="D535" s="2" t="s">
        <v>21</v>
      </c>
      <c r="E535" s="3">
        <v>45153</v>
      </c>
      <c r="F535" s="3">
        <v>45420</v>
      </c>
      <c r="G535" s="3">
        <v>45446</v>
      </c>
      <c r="H535" s="3">
        <v>45446</v>
      </c>
      <c r="I535" s="2">
        <v>293</v>
      </c>
      <c r="J535" s="4">
        <v>0</v>
      </c>
      <c r="K535" s="5" t="s">
        <v>1644</v>
      </c>
      <c r="L535" s="5" t="s">
        <v>1645</v>
      </c>
    </row>
    <row r="536" spans="1:12" ht="319" x14ac:dyDescent="0.35">
      <c r="A536" s="1" t="s">
        <v>1646</v>
      </c>
      <c r="B536" s="2" t="s">
        <v>1647</v>
      </c>
      <c r="C536" s="2" t="s">
        <v>20</v>
      </c>
      <c r="D536" s="2" t="s">
        <v>15</v>
      </c>
      <c r="E536" s="3">
        <v>45153</v>
      </c>
      <c r="F536" s="3">
        <v>45839</v>
      </c>
      <c r="G536" s="3">
        <v>45628</v>
      </c>
      <c r="H536" s="3">
        <v>45839</v>
      </c>
      <c r="I536" s="2">
        <v>475</v>
      </c>
      <c r="J536" s="4">
        <v>211</v>
      </c>
      <c r="K536" s="5" t="s">
        <v>1648</v>
      </c>
      <c r="L536" s="5" t="s">
        <v>1649</v>
      </c>
    </row>
    <row r="537" spans="1:12" ht="246.5" x14ac:dyDescent="0.35">
      <c r="A537" s="1" t="s">
        <v>1650</v>
      </c>
      <c r="B537" s="2" t="s">
        <v>1651</v>
      </c>
      <c r="C537" s="2" t="s">
        <v>20</v>
      </c>
      <c r="D537" s="2" t="s">
        <v>21</v>
      </c>
      <c r="E537" s="3">
        <v>45145</v>
      </c>
      <c r="F537" s="3">
        <v>45571</v>
      </c>
      <c r="G537" s="3">
        <v>45637</v>
      </c>
      <c r="H537" s="3">
        <v>45637</v>
      </c>
      <c r="I537" s="2">
        <v>492</v>
      </c>
      <c r="J537" s="4">
        <v>0</v>
      </c>
      <c r="K537" s="5" t="s">
        <v>1652</v>
      </c>
      <c r="L537" s="5" t="s">
        <v>539</v>
      </c>
    </row>
    <row r="538" spans="1:12" ht="409.5" x14ac:dyDescent="0.35">
      <c r="A538" s="1" t="s">
        <v>1653</v>
      </c>
      <c r="B538" s="2" t="s">
        <v>1654</v>
      </c>
      <c r="C538" s="2" t="s">
        <v>38</v>
      </c>
      <c r="D538" s="2" t="s">
        <v>15</v>
      </c>
      <c r="E538" s="3">
        <v>45145</v>
      </c>
      <c r="F538" s="3">
        <v>45936</v>
      </c>
      <c r="G538" s="3">
        <v>45637</v>
      </c>
      <c r="H538" s="3">
        <v>45994</v>
      </c>
      <c r="I538" s="2">
        <v>492</v>
      </c>
      <c r="J538" s="4">
        <v>357</v>
      </c>
      <c r="K538" s="5" t="s">
        <v>1655</v>
      </c>
      <c r="L538" s="5" t="s">
        <v>1656</v>
      </c>
    </row>
    <row r="539" spans="1:12" ht="145" x14ac:dyDescent="0.35">
      <c r="A539" s="1" t="s">
        <v>1657</v>
      </c>
      <c r="B539" s="2" t="s">
        <v>1658</v>
      </c>
      <c r="C539" s="2" t="s">
        <v>20</v>
      </c>
      <c r="D539" s="2" t="s">
        <v>21</v>
      </c>
      <c r="E539" s="3">
        <v>45142</v>
      </c>
      <c r="F539" s="3">
        <v>45469</v>
      </c>
      <c r="G539" s="3">
        <v>45498</v>
      </c>
      <c r="H539" s="3">
        <v>45498</v>
      </c>
      <c r="I539" s="2">
        <v>356</v>
      </c>
      <c r="J539" s="4">
        <v>0</v>
      </c>
      <c r="K539" s="5" t="s">
        <v>1659</v>
      </c>
      <c r="L539" s="5" t="s">
        <v>1660</v>
      </c>
    </row>
    <row r="540" spans="1:12" ht="72.5" x14ac:dyDescent="0.35">
      <c r="A540" s="1" t="s">
        <v>1661</v>
      </c>
      <c r="B540" s="2" t="s">
        <v>1662</v>
      </c>
      <c r="C540" s="2" t="s">
        <v>38</v>
      </c>
      <c r="D540" s="2" t="s">
        <v>15</v>
      </c>
      <c r="E540" s="3">
        <v>45141</v>
      </c>
      <c r="F540" s="3">
        <v>45511</v>
      </c>
      <c r="G540" s="3">
        <v>45519</v>
      </c>
      <c r="H540" s="3">
        <v>45519</v>
      </c>
      <c r="I540" s="2">
        <v>378</v>
      </c>
      <c r="J540" s="4">
        <v>0</v>
      </c>
      <c r="K540" s="5" t="s">
        <v>630</v>
      </c>
      <c r="L540" s="5" t="s">
        <v>1663</v>
      </c>
    </row>
    <row r="541" spans="1:12" x14ac:dyDescent="0.35">
      <c r="A541" s="1" t="s">
        <v>1664</v>
      </c>
      <c r="B541" s="2" t="s">
        <v>1665</v>
      </c>
      <c r="C541" s="2" t="s">
        <v>25</v>
      </c>
      <c r="D541" s="2" t="s">
        <v>15</v>
      </c>
      <c r="E541" s="3">
        <v>45141</v>
      </c>
      <c r="F541" s="3">
        <v>45141</v>
      </c>
      <c r="G541" s="3">
        <v>45539</v>
      </c>
      <c r="H541" s="3">
        <v>45539</v>
      </c>
      <c r="I541" s="2">
        <v>398</v>
      </c>
      <c r="J541" s="4">
        <v>0</v>
      </c>
      <c r="K541" s="5" t="s">
        <v>1666</v>
      </c>
      <c r="L541" s="5" t="s">
        <v>17</v>
      </c>
    </row>
    <row r="542" spans="1:12" ht="304.5" x14ac:dyDescent="0.35">
      <c r="A542" s="1" t="s">
        <v>1667</v>
      </c>
      <c r="B542" s="2" t="s">
        <v>1668</v>
      </c>
      <c r="C542" s="2" t="s">
        <v>20</v>
      </c>
      <c r="D542" s="2" t="s">
        <v>21</v>
      </c>
      <c r="E542" s="3">
        <v>45140</v>
      </c>
      <c r="F542" s="3">
        <v>45692</v>
      </c>
      <c r="G542" s="3">
        <v>45187</v>
      </c>
      <c r="H542" s="3">
        <v>45720</v>
      </c>
      <c r="I542" s="2">
        <v>47</v>
      </c>
      <c r="J542" s="4">
        <v>533</v>
      </c>
      <c r="K542" s="5" t="s">
        <v>1669</v>
      </c>
      <c r="L542" s="5" t="s">
        <v>1670</v>
      </c>
    </row>
    <row r="543" spans="1:12" ht="188.5" x14ac:dyDescent="0.35">
      <c r="A543" s="1" t="s">
        <v>1671</v>
      </c>
      <c r="B543" s="2" t="s">
        <v>1672</v>
      </c>
      <c r="C543" s="2" t="s">
        <v>38</v>
      </c>
      <c r="D543" s="2" t="s">
        <v>15</v>
      </c>
      <c r="E543" s="3">
        <v>45140</v>
      </c>
      <c r="F543" s="3">
        <v>45957</v>
      </c>
      <c r="G543" s="3">
        <v>45567</v>
      </c>
      <c r="H543" s="3">
        <v>45960</v>
      </c>
      <c r="I543" s="2">
        <v>427</v>
      </c>
      <c r="J543" s="4">
        <v>393</v>
      </c>
      <c r="K543" s="5" t="s">
        <v>1673</v>
      </c>
      <c r="L543" s="5" t="s">
        <v>1674</v>
      </c>
    </row>
    <row r="544" spans="1:12" ht="87" x14ac:dyDescent="0.35">
      <c r="A544" s="1" t="s">
        <v>1675</v>
      </c>
      <c r="B544" s="2" t="s">
        <v>1676</v>
      </c>
      <c r="C544" s="2" t="s">
        <v>38</v>
      </c>
      <c r="D544" s="2" t="s">
        <v>15</v>
      </c>
      <c r="E544" s="3">
        <v>45133</v>
      </c>
      <c r="F544" s="3">
        <v>45345</v>
      </c>
      <c r="G544" s="3">
        <v>45260</v>
      </c>
      <c r="H544" s="3">
        <v>45456</v>
      </c>
      <c r="I544" s="2">
        <v>127</v>
      </c>
      <c r="J544" s="4">
        <v>196</v>
      </c>
      <c r="K544" s="5" t="s">
        <v>1677</v>
      </c>
      <c r="L544" s="5" t="s">
        <v>1678</v>
      </c>
    </row>
    <row r="545" spans="1:12" ht="130.5" x14ac:dyDescent="0.35">
      <c r="A545" s="1" t="s">
        <v>1679</v>
      </c>
      <c r="B545" s="2" t="s">
        <v>1680</v>
      </c>
      <c r="C545" s="2" t="s">
        <v>38</v>
      </c>
      <c r="D545" s="2" t="s">
        <v>21</v>
      </c>
      <c r="E545" s="3">
        <v>45132</v>
      </c>
      <c r="F545" s="3">
        <v>45323</v>
      </c>
      <c r="G545" s="3">
        <v>45336</v>
      </c>
      <c r="H545" s="3">
        <v>45408</v>
      </c>
      <c r="I545" s="2">
        <v>204</v>
      </c>
      <c r="J545" s="4">
        <v>72</v>
      </c>
      <c r="K545" s="5" t="s">
        <v>338</v>
      </c>
      <c r="L545" s="5" t="s">
        <v>303</v>
      </c>
    </row>
    <row r="546" spans="1:12" ht="130.5" x14ac:dyDescent="0.35">
      <c r="A546" s="1" t="s">
        <v>1681</v>
      </c>
      <c r="B546" s="2" t="s">
        <v>1682</v>
      </c>
      <c r="C546" s="2" t="s">
        <v>38</v>
      </c>
      <c r="D546" s="2" t="s">
        <v>15</v>
      </c>
      <c r="E546" s="3">
        <v>45132</v>
      </c>
      <c r="F546" s="3">
        <v>45398</v>
      </c>
      <c r="G546" s="3">
        <v>45183</v>
      </c>
      <c r="H546" s="3">
        <v>45488</v>
      </c>
      <c r="I546" s="2">
        <v>51</v>
      </c>
      <c r="J546" s="4">
        <v>305</v>
      </c>
      <c r="K546" s="5" t="s">
        <v>1683</v>
      </c>
      <c r="L546" s="5" t="s">
        <v>1684</v>
      </c>
    </row>
    <row r="547" spans="1:12" ht="275.5" x14ac:dyDescent="0.35">
      <c r="A547" s="1" t="s">
        <v>1685</v>
      </c>
      <c r="B547" s="2" t="s">
        <v>1686</v>
      </c>
      <c r="C547" s="2" t="s">
        <v>20</v>
      </c>
      <c r="D547" s="2" t="s">
        <v>21</v>
      </c>
      <c r="E547" s="3">
        <v>45128</v>
      </c>
      <c r="F547" s="3">
        <v>45370</v>
      </c>
      <c r="G547" s="3">
        <v>45602</v>
      </c>
      <c r="H547" s="3">
        <v>45602</v>
      </c>
      <c r="I547" s="2">
        <v>474</v>
      </c>
      <c r="J547" s="4">
        <v>0</v>
      </c>
      <c r="K547" s="5" t="s">
        <v>1687</v>
      </c>
      <c r="L547" s="5" t="s">
        <v>1688</v>
      </c>
    </row>
    <row r="548" spans="1:12" ht="58" x14ac:dyDescent="0.35">
      <c r="A548" s="1" t="s">
        <v>1689</v>
      </c>
      <c r="B548" s="2" t="s">
        <v>1690</v>
      </c>
      <c r="C548" s="2" t="s">
        <v>38</v>
      </c>
      <c r="D548" s="2" t="s">
        <v>15</v>
      </c>
      <c r="E548" s="3">
        <v>45127</v>
      </c>
      <c r="F548" s="3">
        <v>45425</v>
      </c>
      <c r="G548" s="3">
        <v>45462</v>
      </c>
      <c r="H548" s="3">
        <v>45471</v>
      </c>
      <c r="I548" s="2">
        <v>335</v>
      </c>
      <c r="J548" s="4">
        <v>9</v>
      </c>
      <c r="K548" s="5" t="s">
        <v>1141</v>
      </c>
      <c r="L548" s="5" t="s">
        <v>1536</v>
      </c>
    </row>
    <row r="549" spans="1:12" ht="130.5" x14ac:dyDescent="0.35">
      <c r="A549" s="1" t="s">
        <v>1691</v>
      </c>
      <c r="B549" s="2" t="s">
        <v>1692</v>
      </c>
      <c r="C549" s="2" t="s">
        <v>38</v>
      </c>
      <c r="D549" s="2" t="s">
        <v>15</v>
      </c>
      <c r="E549" s="3">
        <v>45126</v>
      </c>
      <c r="F549" s="3">
        <v>45890</v>
      </c>
      <c r="G549" s="3">
        <v>45876</v>
      </c>
      <c r="H549" s="3">
        <v>45905</v>
      </c>
      <c r="I549" s="2">
        <v>750</v>
      </c>
      <c r="J549" s="4">
        <v>29</v>
      </c>
      <c r="K549" s="5" t="s">
        <v>721</v>
      </c>
      <c r="L549" s="5" t="s">
        <v>1693</v>
      </c>
    </row>
    <row r="550" spans="1:12" ht="101.5" x14ac:dyDescent="0.35">
      <c r="A550" s="1" t="s">
        <v>1694</v>
      </c>
      <c r="B550" s="2" t="s">
        <v>1695</v>
      </c>
      <c r="C550" s="2" t="s">
        <v>38</v>
      </c>
      <c r="D550" s="2" t="s">
        <v>15</v>
      </c>
      <c r="E550" s="3">
        <v>45119</v>
      </c>
      <c r="F550" s="3">
        <v>45611</v>
      </c>
      <c r="G550" s="3">
        <v>45544</v>
      </c>
      <c r="H550" s="3">
        <v>45671</v>
      </c>
      <c r="I550" s="2">
        <v>425</v>
      </c>
      <c r="J550" s="4">
        <v>127</v>
      </c>
      <c r="K550" s="5" t="s">
        <v>806</v>
      </c>
      <c r="L550" s="5" t="s">
        <v>1696</v>
      </c>
    </row>
    <row r="551" spans="1:12" ht="29" x14ac:dyDescent="0.35">
      <c r="A551" s="1" t="s">
        <v>1697</v>
      </c>
      <c r="B551" s="2" t="s">
        <v>1698</v>
      </c>
      <c r="C551" s="2" t="s">
        <v>38</v>
      </c>
      <c r="D551" s="2" t="s">
        <v>15</v>
      </c>
      <c r="E551" s="3">
        <v>45119</v>
      </c>
      <c r="F551" s="3">
        <v>45716</v>
      </c>
      <c r="G551" s="3">
        <v>45674</v>
      </c>
      <c r="H551" s="3">
        <v>45721</v>
      </c>
      <c r="I551" s="2">
        <v>555</v>
      </c>
      <c r="J551" s="4">
        <v>47</v>
      </c>
      <c r="K551" s="5" t="s">
        <v>497</v>
      </c>
      <c r="L551" s="5" t="s">
        <v>938</v>
      </c>
    </row>
    <row r="552" spans="1:12" ht="409.5" x14ac:dyDescent="0.35">
      <c r="A552" s="1" t="s">
        <v>1699</v>
      </c>
      <c r="B552" s="2" t="s">
        <v>1700</v>
      </c>
      <c r="C552" s="2" t="s">
        <v>187</v>
      </c>
      <c r="D552" s="2" t="s">
        <v>21</v>
      </c>
      <c r="E552" s="3">
        <v>45117</v>
      </c>
      <c r="F552" s="3">
        <v>45582</v>
      </c>
      <c r="G552" s="3">
        <v>45583</v>
      </c>
      <c r="H552" s="3">
        <v>45600</v>
      </c>
      <c r="I552" s="2">
        <v>466</v>
      </c>
      <c r="J552" s="4">
        <v>17</v>
      </c>
      <c r="K552" s="5" t="s">
        <v>1701</v>
      </c>
      <c r="L552" s="5" t="s">
        <v>1702</v>
      </c>
    </row>
    <row r="553" spans="1:12" ht="348" x14ac:dyDescent="0.35">
      <c r="A553" s="1" t="s">
        <v>1703</v>
      </c>
      <c r="B553" s="2" t="s">
        <v>1704</v>
      </c>
      <c r="C553" s="2" t="s">
        <v>151</v>
      </c>
      <c r="D553" s="2" t="s">
        <v>15</v>
      </c>
      <c r="E553" s="3">
        <v>45112</v>
      </c>
      <c r="F553" s="3">
        <v>45993</v>
      </c>
      <c r="G553" s="3">
        <v>45635</v>
      </c>
      <c r="H553" s="3">
        <v>45736</v>
      </c>
      <c r="I553" s="2">
        <v>523</v>
      </c>
      <c r="J553" s="4">
        <v>101</v>
      </c>
      <c r="K553" s="5" t="s">
        <v>1705</v>
      </c>
      <c r="L553" s="5" t="s">
        <v>1706</v>
      </c>
    </row>
    <row r="554" spans="1:12" ht="87" x14ac:dyDescent="0.35">
      <c r="A554" s="1" t="s">
        <v>1707</v>
      </c>
      <c r="B554" s="2" t="s">
        <v>1708</v>
      </c>
      <c r="C554" s="2" t="s">
        <v>25</v>
      </c>
      <c r="D554" s="2" t="s">
        <v>21</v>
      </c>
      <c r="E554" s="3">
        <v>45111</v>
      </c>
      <c r="F554" s="3">
        <v>45566</v>
      </c>
      <c r="G554" s="3">
        <v>45582</v>
      </c>
      <c r="H554" s="3">
        <v>45582</v>
      </c>
      <c r="I554" s="2">
        <v>471</v>
      </c>
      <c r="J554" s="4">
        <v>0</v>
      </c>
      <c r="K554" s="5" t="s">
        <v>218</v>
      </c>
      <c r="L554" s="5" t="s">
        <v>219</v>
      </c>
    </row>
    <row r="555" spans="1:12" ht="333.5" x14ac:dyDescent="0.35">
      <c r="A555" s="1" t="s">
        <v>1709</v>
      </c>
      <c r="B555" s="2" t="s">
        <v>1710</v>
      </c>
      <c r="C555" s="2" t="s">
        <v>284</v>
      </c>
      <c r="D555" s="2" t="s">
        <v>21</v>
      </c>
      <c r="E555" s="3">
        <v>45106</v>
      </c>
      <c r="F555" s="3">
        <v>45922</v>
      </c>
      <c r="G555" s="3">
        <v>45351</v>
      </c>
      <c r="H555" s="3">
        <v>45931</v>
      </c>
      <c r="I555" s="2">
        <v>245</v>
      </c>
      <c r="J555" s="4">
        <v>580</v>
      </c>
      <c r="K555" s="5" t="s">
        <v>1711</v>
      </c>
      <c r="L555" s="5" t="s">
        <v>915</v>
      </c>
    </row>
    <row r="556" spans="1:12" ht="174" x14ac:dyDescent="0.35">
      <c r="A556" s="1" t="s">
        <v>1712</v>
      </c>
      <c r="B556" s="2" t="s">
        <v>1713</v>
      </c>
      <c r="C556" s="2" t="s">
        <v>25</v>
      </c>
      <c r="D556" s="2" t="s">
        <v>21</v>
      </c>
      <c r="E556" s="3">
        <v>45103</v>
      </c>
      <c r="F556" s="3">
        <v>45421</v>
      </c>
      <c r="G556" s="3">
        <v>45436</v>
      </c>
      <c r="H556" s="3">
        <v>45436</v>
      </c>
      <c r="I556" s="2">
        <v>333</v>
      </c>
      <c r="J556" s="4">
        <v>0</v>
      </c>
      <c r="K556" s="5" t="s">
        <v>1714</v>
      </c>
      <c r="L556" s="5" t="s">
        <v>1715</v>
      </c>
    </row>
    <row r="557" spans="1:12" ht="275.5" x14ac:dyDescent="0.35">
      <c r="A557" s="1" t="s">
        <v>1716</v>
      </c>
      <c r="B557" s="2" t="s">
        <v>1717</v>
      </c>
      <c r="C557" s="2" t="s">
        <v>151</v>
      </c>
      <c r="D557" s="2" t="s">
        <v>21</v>
      </c>
      <c r="E557" s="3">
        <v>45103</v>
      </c>
      <c r="F557" s="3">
        <v>45967</v>
      </c>
      <c r="G557" s="3">
        <v>46070</v>
      </c>
      <c r="H557" s="3">
        <v>46070</v>
      </c>
      <c r="I557" s="2">
        <v>967</v>
      </c>
      <c r="J557" s="4">
        <v>0</v>
      </c>
      <c r="K557" s="5" t="s">
        <v>1496</v>
      </c>
      <c r="L557" s="5" t="s">
        <v>1718</v>
      </c>
    </row>
    <row r="558" spans="1:12" ht="362.5" x14ac:dyDescent="0.35">
      <c r="A558" s="1" t="s">
        <v>1719</v>
      </c>
      <c r="B558" s="2" t="s">
        <v>1720</v>
      </c>
      <c r="C558" s="2" t="s">
        <v>25</v>
      </c>
      <c r="D558" s="2" t="s">
        <v>21</v>
      </c>
      <c r="E558" s="3">
        <v>45099</v>
      </c>
      <c r="F558" s="3">
        <v>45155</v>
      </c>
      <c r="G558" s="3">
        <v>45176</v>
      </c>
      <c r="H558" s="3">
        <v>45407</v>
      </c>
      <c r="I558" s="2">
        <v>77</v>
      </c>
      <c r="J558" s="4">
        <v>231</v>
      </c>
      <c r="K558" s="5" t="s">
        <v>1721</v>
      </c>
      <c r="L558" s="5" t="s">
        <v>1722</v>
      </c>
    </row>
    <row r="559" spans="1:12" ht="409.5" x14ac:dyDescent="0.35">
      <c r="A559" s="1" t="s">
        <v>1723</v>
      </c>
      <c r="B559" s="2" t="s">
        <v>1724</v>
      </c>
      <c r="C559" s="2" t="s">
        <v>14</v>
      </c>
      <c r="D559" s="2" t="s">
        <v>21</v>
      </c>
      <c r="E559" s="3">
        <v>45093</v>
      </c>
      <c r="F559" s="3">
        <v>46129</v>
      </c>
      <c r="G559" s="3">
        <v>45866</v>
      </c>
      <c r="H559" s="3">
        <v>46062</v>
      </c>
      <c r="I559" s="2">
        <v>773</v>
      </c>
      <c r="J559" s="4">
        <v>196</v>
      </c>
      <c r="K559" s="5" t="s">
        <v>1725</v>
      </c>
      <c r="L559" s="5" t="s">
        <v>1726</v>
      </c>
    </row>
    <row r="560" spans="1:12" ht="174" x14ac:dyDescent="0.35">
      <c r="A560" s="1" t="s">
        <v>1727</v>
      </c>
      <c r="B560" s="2" t="s">
        <v>1728</v>
      </c>
      <c r="C560" s="2" t="s">
        <v>20</v>
      </c>
      <c r="D560" s="2" t="s">
        <v>21</v>
      </c>
      <c r="E560" s="3">
        <v>45092</v>
      </c>
      <c r="F560" s="3">
        <v>45420</v>
      </c>
      <c r="G560" s="3">
        <v>45421</v>
      </c>
      <c r="H560" s="3">
        <v>45576</v>
      </c>
      <c r="I560" s="2">
        <v>329</v>
      </c>
      <c r="J560" s="4">
        <v>155</v>
      </c>
      <c r="K560" s="5" t="s">
        <v>235</v>
      </c>
      <c r="L560" s="5" t="s">
        <v>236</v>
      </c>
    </row>
    <row r="561" spans="1:12" ht="72.5" x14ac:dyDescent="0.35">
      <c r="A561" s="1" t="s">
        <v>1729</v>
      </c>
      <c r="B561" s="2" t="s">
        <v>1730</v>
      </c>
      <c r="C561" s="2" t="s">
        <v>151</v>
      </c>
      <c r="D561" s="2" t="s">
        <v>21</v>
      </c>
      <c r="E561" s="3">
        <v>45085</v>
      </c>
      <c r="F561" s="3">
        <v>45323</v>
      </c>
      <c r="G561" s="3">
        <v>45597</v>
      </c>
      <c r="H561" s="3">
        <v>45597</v>
      </c>
      <c r="I561" s="2">
        <v>512</v>
      </c>
      <c r="J561" s="4">
        <v>0</v>
      </c>
      <c r="K561" s="5" t="s">
        <v>1731</v>
      </c>
      <c r="L561" s="5" t="s">
        <v>168</v>
      </c>
    </row>
    <row r="562" spans="1:12" ht="29" x14ac:dyDescent="0.35">
      <c r="A562" s="1" t="s">
        <v>1732</v>
      </c>
      <c r="B562" s="2" t="s">
        <v>1733</v>
      </c>
      <c r="C562" s="2" t="s">
        <v>25</v>
      </c>
      <c r="D562" s="2" t="s">
        <v>21</v>
      </c>
      <c r="E562" s="3">
        <v>45082</v>
      </c>
      <c r="F562" s="3">
        <v>45082</v>
      </c>
      <c r="G562" s="3">
        <v>45532</v>
      </c>
      <c r="H562" s="3">
        <v>45532</v>
      </c>
      <c r="I562" s="2">
        <v>450</v>
      </c>
      <c r="J562" s="4">
        <v>0</v>
      </c>
      <c r="K562" s="5" t="s">
        <v>246</v>
      </c>
      <c r="L562" s="5" t="s">
        <v>1734</v>
      </c>
    </row>
    <row r="563" spans="1:12" ht="304.5" x14ac:dyDescent="0.35">
      <c r="A563" s="1" t="s">
        <v>1735</v>
      </c>
      <c r="B563" s="2" t="s">
        <v>1736</v>
      </c>
      <c r="C563" s="2" t="s">
        <v>38</v>
      </c>
      <c r="D563" s="2" t="s">
        <v>21</v>
      </c>
      <c r="E563" s="3">
        <v>45079</v>
      </c>
      <c r="F563" s="3">
        <v>46111</v>
      </c>
      <c r="G563" s="3">
        <v>45992</v>
      </c>
      <c r="H563" s="3">
        <v>46054</v>
      </c>
      <c r="I563" s="2">
        <v>913</v>
      </c>
      <c r="J563" s="4">
        <v>62</v>
      </c>
      <c r="K563" s="5" t="s">
        <v>1119</v>
      </c>
      <c r="L563" s="5" t="s">
        <v>1737</v>
      </c>
    </row>
    <row r="564" spans="1:12" ht="58" x14ac:dyDescent="0.35">
      <c r="A564" s="1" t="s">
        <v>1738</v>
      </c>
      <c r="B564" s="2" t="s">
        <v>1739</v>
      </c>
      <c r="C564" s="2" t="s">
        <v>33</v>
      </c>
      <c r="D564" s="2" t="s">
        <v>21</v>
      </c>
      <c r="E564" s="3">
        <v>45072</v>
      </c>
      <c r="F564" s="3">
        <v>45861</v>
      </c>
      <c r="G564" s="3">
        <v>45916</v>
      </c>
      <c r="H564" s="3">
        <v>45916</v>
      </c>
      <c r="I564" s="2">
        <v>844</v>
      </c>
      <c r="J564" s="4">
        <v>0</v>
      </c>
      <c r="K564" s="5" t="s">
        <v>1740</v>
      </c>
      <c r="L564" s="5" t="s">
        <v>1741</v>
      </c>
    </row>
    <row r="565" spans="1:12" ht="304.5" x14ac:dyDescent="0.35">
      <c r="A565" s="1" t="s">
        <v>1742</v>
      </c>
      <c r="B565" s="2" t="s">
        <v>1743</v>
      </c>
      <c r="C565" s="2" t="s">
        <v>33</v>
      </c>
      <c r="D565" s="2" t="s">
        <v>21</v>
      </c>
      <c r="E565" s="3">
        <v>45068</v>
      </c>
      <c r="F565" s="3">
        <v>45468</v>
      </c>
      <c r="G565" s="3">
        <v>45490</v>
      </c>
      <c r="H565" s="3">
        <v>45490</v>
      </c>
      <c r="I565" s="2">
        <v>422</v>
      </c>
      <c r="J565" s="4">
        <v>0</v>
      </c>
      <c r="K565" s="5" t="s">
        <v>1744</v>
      </c>
      <c r="L565" s="5" t="s">
        <v>1745</v>
      </c>
    </row>
    <row r="566" spans="1:12" ht="217.5" x14ac:dyDescent="0.35">
      <c r="A566" s="1" t="s">
        <v>1746</v>
      </c>
      <c r="B566" s="2" t="s">
        <v>1747</v>
      </c>
      <c r="C566" s="2" t="s">
        <v>14</v>
      </c>
      <c r="D566" s="2" t="s">
        <v>21</v>
      </c>
      <c r="E566" s="3">
        <v>45068</v>
      </c>
      <c r="F566" s="3">
        <v>45355</v>
      </c>
      <c r="G566" s="3">
        <v>45334</v>
      </c>
      <c r="H566" s="3">
        <v>45384</v>
      </c>
      <c r="I566" s="2">
        <v>266</v>
      </c>
      <c r="J566" s="4">
        <v>50</v>
      </c>
      <c r="K566" s="5" t="s">
        <v>773</v>
      </c>
      <c r="L566" s="5" t="s">
        <v>774</v>
      </c>
    </row>
    <row r="567" spans="1:12" ht="87" x14ac:dyDescent="0.35">
      <c r="A567" s="1" t="s">
        <v>1748</v>
      </c>
      <c r="B567" s="2" t="s">
        <v>1749</v>
      </c>
      <c r="C567" s="2" t="s">
        <v>20</v>
      </c>
      <c r="D567" s="2" t="s">
        <v>21</v>
      </c>
      <c r="E567" s="3">
        <v>45065</v>
      </c>
      <c r="F567" s="3">
        <v>45561</v>
      </c>
      <c r="G567" s="3">
        <v>45601</v>
      </c>
      <c r="H567" s="3">
        <v>45601</v>
      </c>
      <c r="I567" s="2">
        <v>536</v>
      </c>
      <c r="J567" s="4">
        <v>0</v>
      </c>
      <c r="K567" s="5" t="s">
        <v>218</v>
      </c>
      <c r="L567" s="5" t="s">
        <v>1750</v>
      </c>
    </row>
    <row r="568" spans="1:12" ht="43.5" x14ac:dyDescent="0.35">
      <c r="A568" s="1" t="s">
        <v>1751</v>
      </c>
      <c r="B568" s="2" t="s">
        <v>1752</v>
      </c>
      <c r="C568" s="2" t="s">
        <v>171</v>
      </c>
      <c r="D568" s="2" t="s">
        <v>21</v>
      </c>
      <c r="E568" s="3">
        <v>45064</v>
      </c>
      <c r="F568" s="3">
        <v>45708</v>
      </c>
      <c r="G568" s="3">
        <v>45729</v>
      </c>
      <c r="H568" s="3">
        <v>45729</v>
      </c>
      <c r="I568" s="2">
        <v>665</v>
      </c>
      <c r="J568" s="4">
        <v>0</v>
      </c>
      <c r="K568" s="5" t="s">
        <v>412</v>
      </c>
      <c r="L568" s="5" t="s">
        <v>35</v>
      </c>
    </row>
    <row r="569" spans="1:12" ht="246.5" x14ac:dyDescent="0.35">
      <c r="A569" s="1" t="s">
        <v>1753</v>
      </c>
      <c r="B569" s="2" t="s">
        <v>1754</v>
      </c>
      <c r="C569" s="2" t="s">
        <v>20</v>
      </c>
      <c r="D569" s="2" t="s">
        <v>21</v>
      </c>
      <c r="E569" s="3">
        <v>45049</v>
      </c>
      <c r="F569" s="3">
        <v>45478</v>
      </c>
      <c r="G569" s="3">
        <v>45497</v>
      </c>
      <c r="H569" s="3">
        <v>45497</v>
      </c>
      <c r="I569" s="2">
        <v>448</v>
      </c>
      <c r="J569" s="4">
        <v>0</v>
      </c>
      <c r="K569" s="5" t="s">
        <v>1755</v>
      </c>
      <c r="L569" s="5" t="s">
        <v>1756</v>
      </c>
    </row>
    <row r="570" spans="1:12" ht="304.5" x14ac:dyDescent="0.35">
      <c r="A570" s="1" t="s">
        <v>1757</v>
      </c>
      <c r="B570" s="2" t="s">
        <v>1758</v>
      </c>
      <c r="C570" s="2" t="s">
        <v>151</v>
      </c>
      <c r="D570" s="2" t="s">
        <v>15</v>
      </c>
      <c r="E570" s="3">
        <v>45040</v>
      </c>
      <c r="F570" s="3">
        <v>45699</v>
      </c>
      <c r="G570" s="3">
        <v>45623</v>
      </c>
      <c r="H570" s="3">
        <v>45623</v>
      </c>
      <c r="I570" s="2">
        <v>583</v>
      </c>
      <c r="J570" s="4">
        <v>0</v>
      </c>
      <c r="K570" s="5" t="s">
        <v>1759</v>
      </c>
      <c r="L570" s="5" t="s">
        <v>1737</v>
      </c>
    </row>
    <row r="571" spans="1:12" ht="159.5" x14ac:dyDescent="0.35">
      <c r="A571" s="1" t="s">
        <v>1760</v>
      </c>
      <c r="B571" s="2" t="s">
        <v>1761</v>
      </c>
      <c r="C571" s="2" t="s">
        <v>25</v>
      </c>
      <c r="D571" s="2" t="s">
        <v>21</v>
      </c>
      <c r="E571" s="3">
        <v>45040</v>
      </c>
      <c r="F571" s="3">
        <v>45455</v>
      </c>
      <c r="G571" s="3">
        <v>45462</v>
      </c>
      <c r="H571" s="3">
        <v>45462</v>
      </c>
      <c r="I571" s="2">
        <v>422</v>
      </c>
      <c r="J571" s="4">
        <v>0</v>
      </c>
      <c r="K571" s="5" t="s">
        <v>1762</v>
      </c>
      <c r="L571" s="5" t="s">
        <v>1763</v>
      </c>
    </row>
    <row r="572" spans="1:12" ht="72.5" x14ac:dyDescent="0.35">
      <c r="A572" s="1" t="s">
        <v>1764</v>
      </c>
      <c r="B572" s="2" t="s">
        <v>1765</v>
      </c>
      <c r="C572" s="2" t="s">
        <v>38</v>
      </c>
      <c r="D572" s="2" t="s">
        <v>21</v>
      </c>
      <c r="E572" s="3">
        <v>45035</v>
      </c>
      <c r="F572" s="3">
        <v>45310</v>
      </c>
      <c r="G572" s="3">
        <v>45505</v>
      </c>
      <c r="H572" s="3">
        <v>45505</v>
      </c>
      <c r="I572" s="2">
        <v>470</v>
      </c>
      <c r="J572" s="4">
        <v>0</v>
      </c>
      <c r="K572" s="5" t="s">
        <v>1157</v>
      </c>
      <c r="L572" s="5" t="s">
        <v>112</v>
      </c>
    </row>
    <row r="573" spans="1:12" ht="362.5" x14ac:dyDescent="0.35">
      <c r="A573" s="1" t="s">
        <v>1766</v>
      </c>
      <c r="B573" s="2" t="s">
        <v>1767</v>
      </c>
      <c r="C573" s="2" t="s">
        <v>25</v>
      </c>
      <c r="D573" s="2" t="s">
        <v>15</v>
      </c>
      <c r="E573" s="3">
        <v>45035</v>
      </c>
      <c r="F573" s="3">
        <v>46107</v>
      </c>
      <c r="G573" s="3">
        <v>45840</v>
      </c>
      <c r="H573" s="3">
        <v>46010</v>
      </c>
      <c r="I573" s="2">
        <v>805</v>
      </c>
      <c r="J573" s="4">
        <v>170</v>
      </c>
      <c r="K573" s="5" t="s">
        <v>1768</v>
      </c>
      <c r="L573" s="5" t="s">
        <v>1769</v>
      </c>
    </row>
    <row r="574" spans="1:12" ht="217.5" x14ac:dyDescent="0.35">
      <c r="A574" s="1" t="s">
        <v>1770</v>
      </c>
      <c r="B574" s="2" t="s">
        <v>1771</v>
      </c>
      <c r="C574" s="2" t="s">
        <v>20</v>
      </c>
      <c r="D574" s="2" t="s">
        <v>15</v>
      </c>
      <c r="E574" s="3">
        <v>45034</v>
      </c>
      <c r="F574" s="3">
        <v>45672</v>
      </c>
      <c r="G574" s="7">
        <v>45474</v>
      </c>
      <c r="H574" s="7">
        <v>45474</v>
      </c>
      <c r="I574" s="2">
        <v>0</v>
      </c>
      <c r="J574" s="4">
        <v>0</v>
      </c>
      <c r="K574" s="5" t="s">
        <v>1772</v>
      </c>
      <c r="L574" s="5" t="s">
        <v>1773</v>
      </c>
    </row>
    <row r="575" spans="1:12" ht="290" x14ac:dyDescent="0.35">
      <c r="A575" s="1" t="s">
        <v>1774</v>
      </c>
      <c r="B575" s="2" t="s">
        <v>1775</v>
      </c>
      <c r="C575" s="2" t="s">
        <v>306</v>
      </c>
      <c r="D575" s="2" t="s">
        <v>15</v>
      </c>
      <c r="E575" s="3">
        <v>45033</v>
      </c>
      <c r="F575" s="3">
        <v>45840</v>
      </c>
      <c r="G575" s="3">
        <v>45321</v>
      </c>
      <c r="H575" s="3">
        <v>45748</v>
      </c>
      <c r="I575" s="2">
        <v>288</v>
      </c>
      <c r="J575" s="4">
        <v>427</v>
      </c>
      <c r="K575" s="5" t="s">
        <v>1776</v>
      </c>
      <c r="L575" s="5" t="s">
        <v>1777</v>
      </c>
    </row>
    <row r="576" spans="1:12" ht="43.5" x14ac:dyDescent="0.35">
      <c r="A576" s="1" t="s">
        <v>1778</v>
      </c>
      <c r="B576" s="2" t="s">
        <v>1779</v>
      </c>
      <c r="C576" s="2" t="s">
        <v>25</v>
      </c>
      <c r="D576" s="2" t="s">
        <v>21</v>
      </c>
      <c r="E576" s="3">
        <v>45443</v>
      </c>
      <c r="F576" s="3">
        <v>45443</v>
      </c>
      <c r="G576" s="3">
        <v>45474</v>
      </c>
      <c r="H576" s="3">
        <v>45474</v>
      </c>
      <c r="I576" s="2">
        <v>31</v>
      </c>
      <c r="J576" s="4">
        <v>0</v>
      </c>
      <c r="K576" s="5" t="s">
        <v>355</v>
      </c>
      <c r="L576" s="5" t="s">
        <v>356</v>
      </c>
    </row>
    <row r="577" spans="1:12" ht="246.5" x14ac:dyDescent="0.35">
      <c r="A577" s="1" t="s">
        <v>1780</v>
      </c>
      <c r="B577" s="2" t="s">
        <v>1781</v>
      </c>
      <c r="C577" s="2" t="s">
        <v>25</v>
      </c>
      <c r="D577" s="2" t="s">
        <v>15</v>
      </c>
      <c r="E577" s="3">
        <v>45029</v>
      </c>
      <c r="F577" s="3">
        <v>45772</v>
      </c>
      <c r="G577" s="3">
        <v>45806</v>
      </c>
      <c r="H577" s="3">
        <v>45979</v>
      </c>
      <c r="I577" s="2">
        <v>777</v>
      </c>
      <c r="J577" s="4">
        <v>173</v>
      </c>
      <c r="K577" s="5" t="s">
        <v>1782</v>
      </c>
      <c r="L577" s="5" t="s">
        <v>1783</v>
      </c>
    </row>
    <row r="578" spans="1:12" x14ac:dyDescent="0.35">
      <c r="A578" s="1" t="s">
        <v>1784</v>
      </c>
      <c r="B578" s="2" t="s">
        <v>1785</v>
      </c>
      <c r="C578" s="2" t="s">
        <v>20</v>
      </c>
      <c r="D578" s="2" t="s">
        <v>21</v>
      </c>
      <c r="E578" s="3">
        <v>45028</v>
      </c>
      <c r="F578" s="3">
        <v>45028</v>
      </c>
      <c r="G578" s="3">
        <v>45393</v>
      </c>
      <c r="H578" s="3">
        <v>45393</v>
      </c>
      <c r="I578" s="2">
        <v>365</v>
      </c>
      <c r="J578" s="4">
        <v>0</v>
      </c>
      <c r="K578" s="5" t="s">
        <v>191</v>
      </c>
      <c r="L578" s="5" t="s">
        <v>17</v>
      </c>
    </row>
    <row r="579" spans="1:12" ht="29" x14ac:dyDescent="0.35">
      <c r="A579" s="1" t="s">
        <v>1786</v>
      </c>
      <c r="B579" s="2" t="s">
        <v>1787</v>
      </c>
      <c r="C579" s="2" t="s">
        <v>20</v>
      </c>
      <c r="D579" s="2" t="s">
        <v>21</v>
      </c>
      <c r="E579" s="3">
        <v>45028</v>
      </c>
      <c r="F579" s="3">
        <v>45093</v>
      </c>
      <c r="G579" s="3">
        <v>45447</v>
      </c>
      <c r="H579" s="3">
        <v>45447</v>
      </c>
      <c r="I579" s="2">
        <v>419</v>
      </c>
      <c r="J579" s="4">
        <v>0</v>
      </c>
      <c r="K579" s="5" t="s">
        <v>239</v>
      </c>
      <c r="L579" s="5" t="s">
        <v>983</v>
      </c>
    </row>
    <row r="580" spans="1:12" ht="174" x14ac:dyDescent="0.35">
      <c r="A580" s="1" t="s">
        <v>1788</v>
      </c>
      <c r="B580" s="2" t="s">
        <v>1789</v>
      </c>
      <c r="C580" s="2" t="s">
        <v>33</v>
      </c>
      <c r="D580" s="2" t="s">
        <v>21</v>
      </c>
      <c r="E580" s="3">
        <v>45028</v>
      </c>
      <c r="F580" s="3">
        <v>45415</v>
      </c>
      <c r="G580" s="3">
        <v>45362</v>
      </c>
      <c r="H580" s="3">
        <v>45460</v>
      </c>
      <c r="I580" s="2">
        <v>334</v>
      </c>
      <c r="J580" s="4">
        <v>98</v>
      </c>
      <c r="K580" s="5" t="s">
        <v>1790</v>
      </c>
      <c r="L580" s="5" t="s">
        <v>1181</v>
      </c>
    </row>
    <row r="581" spans="1:12" ht="159.5" x14ac:dyDescent="0.35">
      <c r="A581" s="1" t="s">
        <v>1791</v>
      </c>
      <c r="B581" s="2" t="s">
        <v>1792</v>
      </c>
      <c r="C581" s="2" t="s">
        <v>38</v>
      </c>
      <c r="D581" s="2" t="s">
        <v>21</v>
      </c>
      <c r="E581" s="3">
        <v>45027</v>
      </c>
      <c r="F581" s="3">
        <v>45707</v>
      </c>
      <c r="G581" s="3">
        <v>45659</v>
      </c>
      <c r="H581" s="3">
        <v>45659</v>
      </c>
      <c r="I581" s="2">
        <v>632</v>
      </c>
      <c r="J581" s="4">
        <v>0</v>
      </c>
      <c r="K581" s="5" t="s">
        <v>1793</v>
      </c>
      <c r="L581" s="5" t="s">
        <v>460</v>
      </c>
    </row>
    <row r="582" spans="1:12" ht="130.5" x14ac:dyDescent="0.35">
      <c r="A582" s="1" t="s">
        <v>1794</v>
      </c>
      <c r="B582" s="2" t="s">
        <v>1795</v>
      </c>
      <c r="C582" s="2" t="s">
        <v>14</v>
      </c>
      <c r="D582" s="2" t="s">
        <v>21</v>
      </c>
      <c r="E582" s="3">
        <v>45021</v>
      </c>
      <c r="F582" s="3">
        <v>45327</v>
      </c>
      <c r="G582" s="3">
        <v>45446</v>
      </c>
      <c r="H582" s="3">
        <v>45446</v>
      </c>
      <c r="I582" s="2">
        <v>425</v>
      </c>
      <c r="J582" s="4">
        <v>0</v>
      </c>
      <c r="K582" s="5" t="s">
        <v>400</v>
      </c>
      <c r="L582" s="5" t="s">
        <v>401</v>
      </c>
    </row>
    <row r="583" spans="1:12" ht="377" x14ac:dyDescent="0.35">
      <c r="A583" s="1" t="s">
        <v>1796</v>
      </c>
      <c r="B583" s="2" t="s">
        <v>1797</v>
      </c>
      <c r="C583" s="2" t="s">
        <v>977</v>
      </c>
      <c r="D583" s="2" t="s">
        <v>21</v>
      </c>
      <c r="E583" s="3">
        <v>45020</v>
      </c>
      <c r="F583" s="3">
        <v>45296</v>
      </c>
      <c r="G583" s="3">
        <v>45618</v>
      </c>
      <c r="H583" s="3">
        <v>45834</v>
      </c>
      <c r="I583" s="2">
        <v>598</v>
      </c>
      <c r="J583" s="4">
        <v>216</v>
      </c>
      <c r="K583" s="5" t="s">
        <v>1798</v>
      </c>
      <c r="L583" s="5" t="s">
        <v>658</v>
      </c>
    </row>
    <row r="584" spans="1:12" ht="87" x14ac:dyDescent="0.35">
      <c r="A584" s="1" t="s">
        <v>1799</v>
      </c>
      <c r="B584" s="2" t="s">
        <v>1800</v>
      </c>
      <c r="C584" s="2" t="s">
        <v>33</v>
      </c>
      <c r="D584" s="2" t="s">
        <v>15</v>
      </c>
      <c r="E584" s="3">
        <v>45125</v>
      </c>
      <c r="F584" s="3">
        <v>45880</v>
      </c>
      <c r="G584" s="3">
        <v>45320</v>
      </c>
      <c r="H584" s="3">
        <v>45908</v>
      </c>
      <c r="I584" s="2">
        <v>195</v>
      </c>
      <c r="J584" s="4">
        <v>588</v>
      </c>
      <c r="K584" s="5" t="s">
        <v>218</v>
      </c>
      <c r="L584" s="5" t="s">
        <v>1801</v>
      </c>
    </row>
    <row r="585" spans="1:12" ht="246.5" x14ac:dyDescent="0.35">
      <c r="A585" s="1" t="s">
        <v>1802</v>
      </c>
      <c r="B585" s="2" t="s">
        <v>1803</v>
      </c>
      <c r="C585" s="2" t="s">
        <v>25</v>
      </c>
      <c r="D585" s="2" t="s">
        <v>21</v>
      </c>
      <c r="E585" s="3">
        <v>45002</v>
      </c>
      <c r="F585" s="3">
        <v>45433</v>
      </c>
      <c r="G585" s="3">
        <v>45474</v>
      </c>
      <c r="H585" s="3">
        <v>45474</v>
      </c>
      <c r="I585" s="2">
        <v>472</v>
      </c>
      <c r="J585" s="4">
        <v>0</v>
      </c>
      <c r="K585" s="5" t="s">
        <v>823</v>
      </c>
      <c r="L585" s="5" t="s">
        <v>539</v>
      </c>
    </row>
    <row r="586" spans="1:12" ht="145" x14ac:dyDescent="0.35">
      <c r="A586" s="1" t="s">
        <v>1804</v>
      </c>
      <c r="B586" s="2" t="s">
        <v>1805</v>
      </c>
      <c r="C586" s="2" t="s">
        <v>20</v>
      </c>
      <c r="D586" s="2" t="s">
        <v>21</v>
      </c>
      <c r="E586" s="3">
        <v>44999</v>
      </c>
      <c r="F586" s="3">
        <v>45398</v>
      </c>
      <c r="G586" s="3">
        <v>45371</v>
      </c>
      <c r="H586" s="3">
        <v>45555</v>
      </c>
      <c r="I586" s="2">
        <v>372</v>
      </c>
      <c r="J586" s="4">
        <v>184</v>
      </c>
      <c r="K586" s="5" t="s">
        <v>1806</v>
      </c>
      <c r="L586" s="5" t="s">
        <v>1807</v>
      </c>
    </row>
    <row r="587" spans="1:12" ht="362.5" x14ac:dyDescent="0.35">
      <c r="A587" s="1" t="s">
        <v>1808</v>
      </c>
      <c r="B587" s="2" t="s">
        <v>1809</v>
      </c>
      <c r="C587" s="2" t="s">
        <v>25</v>
      </c>
      <c r="D587" s="2" t="s">
        <v>15</v>
      </c>
      <c r="E587" s="3">
        <v>44995</v>
      </c>
      <c r="F587" s="3">
        <v>45835</v>
      </c>
      <c r="G587" s="3">
        <v>45492</v>
      </c>
      <c r="H587" s="3">
        <v>45847</v>
      </c>
      <c r="I587" s="2">
        <v>497</v>
      </c>
      <c r="J587" s="4">
        <v>355</v>
      </c>
      <c r="K587" s="5" t="s">
        <v>1810</v>
      </c>
      <c r="L587" s="5" t="s">
        <v>1811</v>
      </c>
    </row>
    <row r="588" spans="1:12" ht="275.5" x14ac:dyDescent="0.35">
      <c r="A588" s="1" t="s">
        <v>1812</v>
      </c>
      <c r="B588" s="2" t="s">
        <v>1813</v>
      </c>
      <c r="C588" s="2" t="s">
        <v>14</v>
      </c>
      <c r="D588" s="2" t="s">
        <v>21</v>
      </c>
      <c r="E588" s="3">
        <v>44994</v>
      </c>
      <c r="F588" s="3">
        <v>45308</v>
      </c>
      <c r="G588" s="3">
        <v>45443</v>
      </c>
      <c r="H588" s="3">
        <v>45443</v>
      </c>
      <c r="I588" s="2">
        <v>449</v>
      </c>
      <c r="J588" s="4">
        <v>0</v>
      </c>
      <c r="K588" s="5" t="s">
        <v>1814</v>
      </c>
      <c r="L588" s="5" t="s">
        <v>1718</v>
      </c>
    </row>
    <row r="589" spans="1:12" ht="130.5" x14ac:dyDescent="0.35">
      <c r="A589" s="1" t="s">
        <v>1815</v>
      </c>
      <c r="B589" s="2" t="s">
        <v>1816</v>
      </c>
      <c r="C589" s="2" t="s">
        <v>14</v>
      </c>
      <c r="D589" s="2" t="s">
        <v>21</v>
      </c>
      <c r="E589" s="3">
        <v>44993</v>
      </c>
      <c r="F589" s="3">
        <v>45392</v>
      </c>
      <c r="G589" s="3">
        <v>45145</v>
      </c>
      <c r="H589" s="3">
        <v>45399</v>
      </c>
      <c r="I589" s="2">
        <v>152</v>
      </c>
      <c r="J589" s="4">
        <v>254</v>
      </c>
      <c r="K589" s="5" t="s">
        <v>1817</v>
      </c>
      <c r="L589" s="5" t="s">
        <v>339</v>
      </c>
    </row>
    <row r="590" spans="1:12" ht="217.5" x14ac:dyDescent="0.35">
      <c r="A590" s="1" t="s">
        <v>1818</v>
      </c>
      <c r="B590" s="2" t="s">
        <v>1819</v>
      </c>
      <c r="C590" s="2" t="s">
        <v>20</v>
      </c>
      <c r="D590" s="2" t="s">
        <v>21</v>
      </c>
      <c r="E590" s="3">
        <v>44991</v>
      </c>
      <c r="F590" s="3">
        <v>45376</v>
      </c>
      <c r="G590" s="3">
        <v>45444</v>
      </c>
      <c r="H590" s="3">
        <v>45444</v>
      </c>
      <c r="I590" s="2">
        <v>453</v>
      </c>
      <c r="J590" s="4">
        <v>0</v>
      </c>
      <c r="K590" s="5" t="s">
        <v>1820</v>
      </c>
      <c r="L590" s="5" t="s">
        <v>774</v>
      </c>
    </row>
    <row r="591" spans="1:12" ht="188.5" x14ac:dyDescent="0.35">
      <c r="A591" s="1" t="s">
        <v>1821</v>
      </c>
      <c r="B591" s="2" t="s">
        <v>1822</v>
      </c>
      <c r="C591" s="2" t="s">
        <v>20</v>
      </c>
      <c r="D591" s="2" t="s">
        <v>21</v>
      </c>
      <c r="E591" s="3">
        <v>44978</v>
      </c>
      <c r="F591" s="3">
        <v>45923</v>
      </c>
      <c r="G591" s="3">
        <v>45266</v>
      </c>
      <c r="H591" s="3">
        <v>45931</v>
      </c>
      <c r="I591" s="2">
        <v>288</v>
      </c>
      <c r="J591" s="4">
        <v>665</v>
      </c>
      <c r="K591" s="5" t="s">
        <v>667</v>
      </c>
      <c r="L591" s="5" t="s">
        <v>1823</v>
      </c>
    </row>
    <row r="592" spans="1:12" ht="217.5" x14ac:dyDescent="0.35">
      <c r="A592" s="1" t="s">
        <v>1824</v>
      </c>
      <c r="B592" s="2" t="s">
        <v>1825</v>
      </c>
      <c r="C592" s="2" t="s">
        <v>171</v>
      </c>
      <c r="D592" s="2" t="s">
        <v>21</v>
      </c>
      <c r="E592" s="3">
        <v>44977</v>
      </c>
      <c r="F592" s="3">
        <v>45477</v>
      </c>
      <c r="G592" s="3">
        <v>45566</v>
      </c>
      <c r="H592" s="3">
        <v>45566</v>
      </c>
      <c r="I592" s="2">
        <v>589</v>
      </c>
      <c r="J592" s="4">
        <v>0</v>
      </c>
      <c r="K592" s="5" t="s">
        <v>773</v>
      </c>
      <c r="L592" s="5" t="s">
        <v>774</v>
      </c>
    </row>
    <row r="593" spans="1:12" ht="409.5" x14ac:dyDescent="0.35">
      <c r="A593" s="1" t="s">
        <v>1826</v>
      </c>
      <c r="B593" s="2" t="s">
        <v>1827</v>
      </c>
      <c r="C593" s="2" t="s">
        <v>20</v>
      </c>
      <c r="D593" s="2" t="s">
        <v>21</v>
      </c>
      <c r="E593" s="3">
        <v>44957</v>
      </c>
      <c r="F593" s="3">
        <v>46063</v>
      </c>
      <c r="G593" s="3">
        <v>45855</v>
      </c>
      <c r="H593" s="3">
        <v>46090</v>
      </c>
      <c r="I593" s="2">
        <v>898</v>
      </c>
      <c r="J593" s="4">
        <v>235</v>
      </c>
      <c r="K593" s="5" t="s">
        <v>1828</v>
      </c>
      <c r="L593" s="5" t="s">
        <v>1829</v>
      </c>
    </row>
    <row r="594" spans="1:12" ht="101.5" x14ac:dyDescent="0.35">
      <c r="A594" s="1" t="s">
        <v>1830</v>
      </c>
      <c r="B594" s="2" t="s">
        <v>1831</v>
      </c>
      <c r="C594" s="2" t="s">
        <v>1585</v>
      </c>
      <c r="D594" s="2" t="s">
        <v>21</v>
      </c>
      <c r="E594" s="3">
        <v>44956</v>
      </c>
      <c r="F594" s="3">
        <v>45406</v>
      </c>
      <c r="G594" s="3">
        <v>45173</v>
      </c>
      <c r="H594" s="3">
        <v>45453</v>
      </c>
      <c r="I594" s="2">
        <v>217</v>
      </c>
      <c r="J594" s="4">
        <v>280</v>
      </c>
      <c r="K594" s="5" t="s">
        <v>1832</v>
      </c>
      <c r="L594" s="5" t="s">
        <v>71</v>
      </c>
    </row>
    <row r="595" spans="1:12" ht="43.5" x14ac:dyDescent="0.35">
      <c r="A595" s="1" t="s">
        <v>1833</v>
      </c>
      <c r="B595" s="2" t="s">
        <v>1834</v>
      </c>
      <c r="C595" s="2" t="s">
        <v>151</v>
      </c>
      <c r="D595" s="2" t="s">
        <v>15</v>
      </c>
      <c r="E595" s="3">
        <v>44952</v>
      </c>
      <c r="F595" s="3">
        <v>45881</v>
      </c>
      <c r="G595" s="3">
        <v>45721</v>
      </c>
      <c r="H595" s="3">
        <v>45791</v>
      </c>
      <c r="I595" s="2">
        <v>769</v>
      </c>
      <c r="J595" s="4">
        <v>70</v>
      </c>
      <c r="K595" s="5" t="s">
        <v>982</v>
      </c>
      <c r="L595" s="5" t="s">
        <v>35</v>
      </c>
    </row>
    <row r="596" spans="1:12" ht="43.5" x14ac:dyDescent="0.35">
      <c r="A596" s="1" t="s">
        <v>1835</v>
      </c>
      <c r="B596" s="2" t="s">
        <v>1836</v>
      </c>
      <c r="C596" s="2" t="s">
        <v>20</v>
      </c>
      <c r="D596" s="2" t="s">
        <v>21</v>
      </c>
      <c r="E596" s="3">
        <v>44950</v>
      </c>
      <c r="F596" s="3">
        <v>45461</v>
      </c>
      <c r="G596" s="3">
        <v>45469</v>
      </c>
      <c r="H596" s="3">
        <v>45469</v>
      </c>
      <c r="I596" s="2">
        <v>519</v>
      </c>
      <c r="J596" s="4">
        <v>0</v>
      </c>
      <c r="K596" s="5" t="s">
        <v>70</v>
      </c>
      <c r="L596" s="5" t="s">
        <v>67</v>
      </c>
    </row>
    <row r="597" spans="1:12" ht="275.5" x14ac:dyDescent="0.35">
      <c r="A597" s="1" t="s">
        <v>1837</v>
      </c>
      <c r="B597" s="2" t="s">
        <v>1838</v>
      </c>
      <c r="C597" s="2" t="s">
        <v>151</v>
      </c>
      <c r="D597" s="2" t="s">
        <v>15</v>
      </c>
      <c r="E597" s="3">
        <v>44949</v>
      </c>
      <c r="F597" s="3">
        <v>45379</v>
      </c>
      <c r="G597" s="3">
        <v>45449</v>
      </c>
      <c r="H597" s="3">
        <v>45449</v>
      </c>
      <c r="I597" s="2">
        <v>500</v>
      </c>
      <c r="J597" s="4">
        <v>0</v>
      </c>
      <c r="K597" s="5" t="s">
        <v>1839</v>
      </c>
      <c r="L597" s="5" t="s">
        <v>1840</v>
      </c>
    </row>
    <row r="598" spans="1:12" ht="409.5" x14ac:dyDescent="0.35">
      <c r="A598" s="1" t="s">
        <v>1841</v>
      </c>
      <c r="B598" s="2" t="s">
        <v>1842</v>
      </c>
      <c r="C598" s="2" t="s">
        <v>20</v>
      </c>
      <c r="D598" s="2" t="s">
        <v>15</v>
      </c>
      <c r="E598" s="3">
        <v>37894</v>
      </c>
      <c r="F598" s="3">
        <v>45341</v>
      </c>
      <c r="G598" s="3">
        <v>45236</v>
      </c>
      <c r="H598" s="3">
        <v>45460</v>
      </c>
      <c r="I598" s="2">
        <v>7342</v>
      </c>
      <c r="J598" s="4">
        <v>224</v>
      </c>
      <c r="K598" s="5" t="s">
        <v>1843</v>
      </c>
      <c r="L598" s="5" t="s">
        <v>1844</v>
      </c>
    </row>
    <row r="599" spans="1:12" ht="409.5" x14ac:dyDescent="0.35">
      <c r="A599" s="1" t="s">
        <v>1845</v>
      </c>
      <c r="B599" s="2" t="s">
        <v>1846</v>
      </c>
      <c r="C599" s="2" t="s">
        <v>20</v>
      </c>
      <c r="D599" s="2" t="s">
        <v>21</v>
      </c>
      <c r="E599" s="3">
        <v>44932</v>
      </c>
      <c r="F599" s="3">
        <v>46107</v>
      </c>
      <c r="G599" s="3">
        <v>46098</v>
      </c>
      <c r="H599" s="3">
        <v>46098</v>
      </c>
      <c r="I599" s="2">
        <v>1166</v>
      </c>
      <c r="J599" s="4">
        <v>0</v>
      </c>
      <c r="K599" s="5" t="s">
        <v>1847</v>
      </c>
      <c r="L599" s="5" t="s">
        <v>1848</v>
      </c>
    </row>
    <row r="600" spans="1:12" ht="188.5" x14ac:dyDescent="0.35">
      <c r="A600" s="1" t="s">
        <v>1849</v>
      </c>
      <c r="B600" s="2" t="s">
        <v>1850</v>
      </c>
      <c r="C600" s="2" t="s">
        <v>20</v>
      </c>
      <c r="D600" s="2" t="s">
        <v>21</v>
      </c>
      <c r="E600" s="3">
        <v>44931</v>
      </c>
      <c r="F600" s="3">
        <v>45709</v>
      </c>
      <c r="G600" s="3">
        <v>45748</v>
      </c>
      <c r="H600" s="3">
        <v>45748</v>
      </c>
      <c r="I600" s="2">
        <v>817</v>
      </c>
      <c r="J600" s="4">
        <v>0</v>
      </c>
      <c r="K600" s="5" t="s">
        <v>1851</v>
      </c>
      <c r="L600" s="5" t="s">
        <v>488</v>
      </c>
    </row>
    <row r="601" spans="1:12" ht="101.5" x14ac:dyDescent="0.35">
      <c r="A601" s="1" t="s">
        <v>1852</v>
      </c>
      <c r="B601" s="2" t="s">
        <v>1853</v>
      </c>
      <c r="C601" s="2" t="s">
        <v>38</v>
      </c>
      <c r="D601" s="2" t="s">
        <v>15</v>
      </c>
      <c r="E601" s="3">
        <v>45310</v>
      </c>
      <c r="F601" s="3">
        <v>45313</v>
      </c>
      <c r="G601" s="3">
        <v>45628</v>
      </c>
      <c r="H601" s="3">
        <v>45628</v>
      </c>
      <c r="I601" s="2">
        <v>318</v>
      </c>
      <c r="J601" s="4">
        <v>0</v>
      </c>
      <c r="K601" s="5" t="s">
        <v>1854</v>
      </c>
      <c r="L601" s="5" t="s">
        <v>71</v>
      </c>
    </row>
    <row r="602" spans="1:12" ht="116" x14ac:dyDescent="0.35">
      <c r="A602" s="1" t="s">
        <v>1855</v>
      </c>
      <c r="B602" s="2" t="s">
        <v>1856</v>
      </c>
      <c r="C602" s="2" t="s">
        <v>14</v>
      </c>
      <c r="D602" s="2" t="s">
        <v>21</v>
      </c>
      <c r="E602" s="3">
        <v>44902</v>
      </c>
      <c r="F602" s="3">
        <v>45908</v>
      </c>
      <c r="G602" s="3">
        <v>45877</v>
      </c>
      <c r="H602" s="3">
        <v>45940</v>
      </c>
      <c r="I602" s="2">
        <v>975</v>
      </c>
      <c r="J602" s="4">
        <v>63</v>
      </c>
      <c r="K602" s="5" t="s">
        <v>1532</v>
      </c>
      <c r="L602" s="5" t="s">
        <v>219</v>
      </c>
    </row>
    <row r="603" spans="1:12" ht="261" x14ac:dyDescent="0.35">
      <c r="A603" s="1" t="s">
        <v>1857</v>
      </c>
      <c r="B603" s="2" t="s">
        <v>1858</v>
      </c>
      <c r="C603" s="2" t="s">
        <v>20</v>
      </c>
      <c r="D603" s="2" t="s">
        <v>21</v>
      </c>
      <c r="E603" s="3">
        <v>44900</v>
      </c>
      <c r="F603" s="3">
        <v>45386</v>
      </c>
      <c r="G603" s="3">
        <v>45405</v>
      </c>
      <c r="H603" s="3">
        <v>45534</v>
      </c>
      <c r="I603" s="2">
        <v>505</v>
      </c>
      <c r="J603" s="4">
        <v>129</v>
      </c>
      <c r="K603" s="5" t="s">
        <v>885</v>
      </c>
      <c r="L603" s="5" t="s">
        <v>1859</v>
      </c>
    </row>
    <row r="604" spans="1:12" ht="145" x14ac:dyDescent="0.35">
      <c r="A604" s="1" t="s">
        <v>1860</v>
      </c>
      <c r="B604" s="2" t="s">
        <v>1861</v>
      </c>
      <c r="C604" s="2" t="s">
        <v>20</v>
      </c>
      <c r="D604" s="2" t="s">
        <v>21</v>
      </c>
      <c r="E604" s="3">
        <v>44895</v>
      </c>
      <c r="F604" s="3">
        <v>45756</v>
      </c>
      <c r="G604" s="3">
        <v>45005</v>
      </c>
      <c r="H604" s="3">
        <v>45962</v>
      </c>
      <c r="I604" s="2">
        <v>110</v>
      </c>
      <c r="J604" s="4">
        <v>957</v>
      </c>
      <c r="K604" s="5" t="s">
        <v>1862</v>
      </c>
      <c r="L604" s="5" t="s">
        <v>1863</v>
      </c>
    </row>
    <row r="605" spans="1:12" ht="290" x14ac:dyDescent="0.35">
      <c r="A605" s="1" t="s">
        <v>1864</v>
      </c>
      <c r="B605" s="2" t="s">
        <v>1865</v>
      </c>
      <c r="C605" s="2" t="s">
        <v>977</v>
      </c>
      <c r="D605" s="2" t="s">
        <v>21</v>
      </c>
      <c r="E605" s="3">
        <v>44894</v>
      </c>
      <c r="F605" s="3">
        <v>45846</v>
      </c>
      <c r="G605" s="3">
        <v>45464</v>
      </c>
      <c r="H605" s="3">
        <v>45701</v>
      </c>
      <c r="I605" s="2">
        <v>570</v>
      </c>
      <c r="J605" s="4">
        <v>237</v>
      </c>
      <c r="K605" s="5" t="s">
        <v>1866</v>
      </c>
      <c r="L605" s="5" t="s">
        <v>453</v>
      </c>
    </row>
    <row r="606" spans="1:12" ht="203" x14ac:dyDescent="0.35">
      <c r="A606" s="1" t="s">
        <v>1867</v>
      </c>
      <c r="B606" s="2" t="s">
        <v>1868</v>
      </c>
      <c r="C606" s="2" t="s">
        <v>977</v>
      </c>
      <c r="D606" s="2" t="s">
        <v>21</v>
      </c>
      <c r="E606" s="3">
        <v>44890</v>
      </c>
      <c r="F606" s="3">
        <v>45870</v>
      </c>
      <c r="G606" s="3">
        <v>45516</v>
      </c>
      <c r="H606" s="3">
        <v>45687</v>
      </c>
      <c r="I606" s="2">
        <v>626</v>
      </c>
      <c r="J606" s="4">
        <v>171</v>
      </c>
      <c r="K606" s="5" t="s">
        <v>1869</v>
      </c>
      <c r="L606" s="5" t="s">
        <v>1870</v>
      </c>
    </row>
    <row r="607" spans="1:12" ht="72.5" x14ac:dyDescent="0.35">
      <c r="A607" s="1" t="s">
        <v>1871</v>
      </c>
      <c r="B607" s="2" t="s">
        <v>1872</v>
      </c>
      <c r="C607" s="2" t="s">
        <v>38</v>
      </c>
      <c r="D607" s="2" t="s">
        <v>21</v>
      </c>
      <c r="E607" s="3">
        <v>44882</v>
      </c>
      <c r="F607" s="3">
        <v>45545</v>
      </c>
      <c r="G607" s="3">
        <v>45383</v>
      </c>
      <c r="H607" s="3">
        <v>45383</v>
      </c>
      <c r="I607" s="2">
        <v>501</v>
      </c>
      <c r="J607" s="4">
        <v>0</v>
      </c>
      <c r="K607" s="5" t="s">
        <v>111</v>
      </c>
      <c r="L607" s="5" t="s">
        <v>112</v>
      </c>
    </row>
    <row r="608" spans="1:12" ht="348" x14ac:dyDescent="0.35">
      <c r="A608" s="1" t="s">
        <v>1873</v>
      </c>
      <c r="B608" s="2" t="s">
        <v>1874</v>
      </c>
      <c r="C608" s="2" t="s">
        <v>25</v>
      </c>
      <c r="D608" s="2" t="s">
        <v>21</v>
      </c>
      <c r="E608" s="3">
        <v>44881</v>
      </c>
      <c r="F608" s="3">
        <v>45538</v>
      </c>
      <c r="G608" s="3">
        <v>45721</v>
      </c>
      <c r="H608" s="3">
        <v>45797</v>
      </c>
      <c r="I608" s="2">
        <v>840</v>
      </c>
      <c r="J608" s="4">
        <v>76</v>
      </c>
      <c r="K608" s="5" t="s">
        <v>1847</v>
      </c>
      <c r="L608" s="5" t="s">
        <v>919</v>
      </c>
    </row>
    <row r="609" spans="1:12" ht="58" x14ac:dyDescent="0.35">
      <c r="A609" s="1" t="s">
        <v>1875</v>
      </c>
      <c r="B609" s="2" t="s">
        <v>1876</v>
      </c>
      <c r="C609" s="2" t="s">
        <v>38</v>
      </c>
      <c r="D609" s="2" t="s">
        <v>21</v>
      </c>
      <c r="E609" s="3">
        <v>44880</v>
      </c>
      <c r="F609" s="3">
        <v>45504</v>
      </c>
      <c r="G609" s="3">
        <v>45614</v>
      </c>
      <c r="H609" s="3">
        <v>45614</v>
      </c>
      <c r="I609" s="2">
        <v>734</v>
      </c>
      <c r="J609" s="4">
        <v>0</v>
      </c>
      <c r="K609" s="5" t="s">
        <v>1877</v>
      </c>
      <c r="L609" s="5" t="s">
        <v>1878</v>
      </c>
    </row>
    <row r="610" spans="1:12" ht="409.5" x14ac:dyDescent="0.35">
      <c r="A610" s="1" t="s">
        <v>1879</v>
      </c>
      <c r="B610" s="2" t="s">
        <v>1880</v>
      </c>
      <c r="C610" s="2" t="s">
        <v>20</v>
      </c>
      <c r="D610" s="2" t="s">
        <v>21</v>
      </c>
      <c r="E610" s="3">
        <v>44873</v>
      </c>
      <c r="F610" s="3">
        <v>45895</v>
      </c>
      <c r="G610" s="3">
        <v>45455</v>
      </c>
      <c r="H610" s="3">
        <v>45896</v>
      </c>
      <c r="I610" s="2">
        <v>582</v>
      </c>
      <c r="J610" s="4">
        <v>441</v>
      </c>
      <c r="K610" s="5" t="s">
        <v>1881</v>
      </c>
      <c r="L610" s="5" t="s">
        <v>1882</v>
      </c>
    </row>
    <row r="611" spans="1:12" ht="246.5" x14ac:dyDescent="0.35">
      <c r="A611" s="1" t="s">
        <v>1883</v>
      </c>
      <c r="B611" s="2" t="s">
        <v>1884</v>
      </c>
      <c r="C611" s="2" t="s">
        <v>20</v>
      </c>
      <c r="D611" s="2" t="s">
        <v>21</v>
      </c>
      <c r="E611" s="3">
        <v>44866</v>
      </c>
      <c r="F611" s="3">
        <v>45518</v>
      </c>
      <c r="G611" s="3">
        <v>45350</v>
      </c>
      <c r="H611" s="3">
        <v>45539</v>
      </c>
      <c r="I611" s="2">
        <v>484</v>
      </c>
      <c r="J611" s="4">
        <v>189</v>
      </c>
      <c r="K611" s="5" t="s">
        <v>1885</v>
      </c>
      <c r="L611" s="5" t="s">
        <v>1886</v>
      </c>
    </row>
    <row r="612" spans="1:12" ht="377" x14ac:dyDescent="0.35">
      <c r="A612" s="1" t="s">
        <v>1887</v>
      </c>
      <c r="B612" s="2" t="s">
        <v>1888</v>
      </c>
      <c r="C612" s="2" t="s">
        <v>20</v>
      </c>
      <c r="D612" s="2" t="s">
        <v>21</v>
      </c>
      <c r="E612" s="3">
        <v>44862</v>
      </c>
      <c r="F612" s="3">
        <v>45637</v>
      </c>
      <c r="G612" s="3">
        <v>44900</v>
      </c>
      <c r="H612" s="3">
        <v>45644</v>
      </c>
      <c r="I612" s="2">
        <v>38</v>
      </c>
      <c r="J612" s="4">
        <v>744</v>
      </c>
      <c r="K612" s="5" t="s">
        <v>1889</v>
      </c>
      <c r="L612" s="5" t="s">
        <v>1890</v>
      </c>
    </row>
    <row r="613" spans="1:12" ht="409.5" x14ac:dyDescent="0.35">
      <c r="A613" s="1" t="s">
        <v>1891</v>
      </c>
      <c r="B613" s="2" t="s">
        <v>1892</v>
      </c>
      <c r="C613" s="2" t="s">
        <v>38</v>
      </c>
      <c r="D613" s="2" t="s">
        <v>15</v>
      </c>
      <c r="E613" s="3">
        <v>44860</v>
      </c>
      <c r="F613" s="3">
        <v>45693</v>
      </c>
      <c r="G613" s="3">
        <v>45191</v>
      </c>
      <c r="H613" s="3">
        <v>45425</v>
      </c>
      <c r="I613" s="2">
        <v>331</v>
      </c>
      <c r="J613" s="4">
        <v>234</v>
      </c>
      <c r="K613" s="5" t="s">
        <v>1893</v>
      </c>
      <c r="L613" s="5" t="s">
        <v>1894</v>
      </c>
    </row>
    <row r="614" spans="1:12" ht="43.5" x14ac:dyDescent="0.35">
      <c r="A614" s="1" t="s">
        <v>1895</v>
      </c>
      <c r="B614" s="2" t="s">
        <v>1896</v>
      </c>
      <c r="C614" s="2" t="s">
        <v>20</v>
      </c>
      <c r="D614" s="2" t="s">
        <v>21</v>
      </c>
      <c r="E614" s="3">
        <v>44859</v>
      </c>
      <c r="F614" s="3">
        <v>45349</v>
      </c>
      <c r="G614" s="3">
        <v>45728</v>
      </c>
      <c r="H614" s="3">
        <v>45728</v>
      </c>
      <c r="I614" s="2">
        <v>869</v>
      </c>
      <c r="J614" s="4">
        <v>0</v>
      </c>
      <c r="K614" s="5" t="s">
        <v>70</v>
      </c>
      <c r="L614" s="5" t="s">
        <v>35</v>
      </c>
    </row>
    <row r="615" spans="1:12" ht="72.5" x14ac:dyDescent="0.35">
      <c r="A615" s="1" t="s">
        <v>1897</v>
      </c>
      <c r="B615" s="2" t="s">
        <v>1898</v>
      </c>
      <c r="C615" s="2" t="s">
        <v>151</v>
      </c>
      <c r="D615" s="2" t="s">
        <v>21</v>
      </c>
      <c r="E615" s="3">
        <v>44844</v>
      </c>
      <c r="F615" s="3">
        <v>44868</v>
      </c>
      <c r="G615" s="3">
        <v>44929</v>
      </c>
      <c r="H615" s="3">
        <v>45537</v>
      </c>
      <c r="I615" s="2">
        <v>85</v>
      </c>
      <c r="J615" s="4">
        <v>608</v>
      </c>
      <c r="K615" s="5" t="s">
        <v>111</v>
      </c>
      <c r="L615" s="5" t="s">
        <v>112</v>
      </c>
    </row>
    <row r="616" spans="1:12" ht="409.5" x14ac:dyDescent="0.35">
      <c r="A616" s="1" t="s">
        <v>1899</v>
      </c>
      <c r="B616" s="2" t="s">
        <v>1900</v>
      </c>
      <c r="C616" s="2" t="s">
        <v>20</v>
      </c>
      <c r="D616" s="2" t="s">
        <v>21</v>
      </c>
      <c r="E616" s="3">
        <v>44841</v>
      </c>
      <c r="F616" s="3">
        <v>45527</v>
      </c>
      <c r="G616" s="3">
        <v>45341</v>
      </c>
      <c r="H616" s="3">
        <v>45628</v>
      </c>
      <c r="I616" s="2">
        <v>500</v>
      </c>
      <c r="J616" s="4">
        <v>287</v>
      </c>
      <c r="K616" s="5" t="s">
        <v>1901</v>
      </c>
      <c r="L616" s="5" t="s">
        <v>1902</v>
      </c>
    </row>
    <row r="617" spans="1:12" ht="58" x14ac:dyDescent="0.35">
      <c r="A617" s="1" t="s">
        <v>1903</v>
      </c>
      <c r="B617" s="2" t="s">
        <v>1904</v>
      </c>
      <c r="C617" s="2" t="s">
        <v>20</v>
      </c>
      <c r="D617" s="2" t="s">
        <v>21</v>
      </c>
      <c r="E617" s="3">
        <v>44824</v>
      </c>
      <c r="F617" s="3">
        <v>45384</v>
      </c>
      <c r="G617" s="3">
        <v>45408</v>
      </c>
      <c r="H617" s="3">
        <v>45428</v>
      </c>
      <c r="I617" s="2">
        <v>584</v>
      </c>
      <c r="J617" s="4">
        <v>20</v>
      </c>
      <c r="K617" s="5" t="s">
        <v>107</v>
      </c>
      <c r="L617" s="5" t="s">
        <v>108</v>
      </c>
    </row>
    <row r="618" spans="1:12" ht="246.5" x14ac:dyDescent="0.35">
      <c r="A618" s="1" t="s">
        <v>1905</v>
      </c>
      <c r="B618" s="2" t="s">
        <v>1906</v>
      </c>
      <c r="C618" s="2" t="s">
        <v>38</v>
      </c>
      <c r="D618" s="2" t="s">
        <v>15</v>
      </c>
      <c r="E618" s="3">
        <v>44826</v>
      </c>
      <c r="F618" s="3">
        <v>45937</v>
      </c>
      <c r="G618" s="3">
        <v>45510</v>
      </c>
      <c r="H618" s="3">
        <v>45763</v>
      </c>
      <c r="I618" s="2">
        <v>684</v>
      </c>
      <c r="J618" s="4">
        <v>253</v>
      </c>
      <c r="K618" s="5" t="s">
        <v>1907</v>
      </c>
      <c r="L618" s="5" t="s">
        <v>1908</v>
      </c>
    </row>
    <row r="619" spans="1:12" ht="72.5" x14ac:dyDescent="0.35">
      <c r="A619" s="1" t="s">
        <v>1909</v>
      </c>
      <c r="B619" s="2" t="s">
        <v>1910</v>
      </c>
      <c r="C619" s="2" t="s">
        <v>20</v>
      </c>
      <c r="D619" s="2" t="s">
        <v>21</v>
      </c>
      <c r="E619" s="3">
        <v>44820</v>
      </c>
      <c r="F619" s="3">
        <v>45435</v>
      </c>
      <c r="G619" s="3">
        <v>44950</v>
      </c>
      <c r="H619" s="3">
        <v>45495</v>
      </c>
      <c r="I619" s="2">
        <v>130</v>
      </c>
      <c r="J619" s="4">
        <v>545</v>
      </c>
      <c r="K619" s="5" t="s">
        <v>738</v>
      </c>
      <c r="L619" s="5" t="s">
        <v>112</v>
      </c>
    </row>
    <row r="620" spans="1:12" ht="87" x14ac:dyDescent="0.35">
      <c r="A620" s="1" t="s">
        <v>1911</v>
      </c>
      <c r="B620" s="2" t="s">
        <v>1912</v>
      </c>
      <c r="C620" s="2" t="s">
        <v>38</v>
      </c>
      <c r="D620" s="2" t="s">
        <v>15</v>
      </c>
      <c r="E620" s="3">
        <v>44817</v>
      </c>
      <c r="F620" s="3">
        <v>45363</v>
      </c>
      <c r="G620" s="3">
        <v>45232</v>
      </c>
      <c r="H620" s="3">
        <v>45407</v>
      </c>
      <c r="I620" s="2">
        <v>415</v>
      </c>
      <c r="J620" s="4">
        <v>175</v>
      </c>
      <c r="K620" s="5" t="s">
        <v>1913</v>
      </c>
      <c r="L620" s="5" t="s">
        <v>1914</v>
      </c>
    </row>
    <row r="621" spans="1:12" ht="29" x14ac:dyDescent="0.35">
      <c r="A621" s="1" t="s">
        <v>1915</v>
      </c>
      <c r="B621" s="2" t="s">
        <v>1916</v>
      </c>
      <c r="C621" s="2" t="s">
        <v>33</v>
      </c>
      <c r="D621" s="2" t="s">
        <v>21</v>
      </c>
      <c r="E621" s="3">
        <v>44811</v>
      </c>
      <c r="F621" s="3">
        <v>44811</v>
      </c>
      <c r="G621" s="3">
        <v>45503</v>
      </c>
      <c r="H621" s="3">
        <v>45503</v>
      </c>
      <c r="I621" s="2">
        <v>692</v>
      </c>
      <c r="J621" s="4">
        <v>0</v>
      </c>
      <c r="K621" s="5" t="s">
        <v>441</v>
      </c>
      <c r="L621" s="5" t="s">
        <v>27</v>
      </c>
    </row>
    <row r="622" spans="1:12" ht="409.5" x14ac:dyDescent="0.35">
      <c r="A622" s="1" t="s">
        <v>1917</v>
      </c>
      <c r="B622" s="2" t="s">
        <v>1918</v>
      </c>
      <c r="C622" s="2" t="s">
        <v>14</v>
      </c>
      <c r="D622" s="2" t="s">
        <v>15</v>
      </c>
      <c r="E622" s="3">
        <v>44804</v>
      </c>
      <c r="F622" s="3">
        <v>45791</v>
      </c>
      <c r="G622" s="3">
        <v>45029</v>
      </c>
      <c r="H622" s="3">
        <v>45810</v>
      </c>
      <c r="I622" s="2">
        <v>225</v>
      </c>
      <c r="J622" s="4">
        <v>781</v>
      </c>
      <c r="K622" s="5" t="s">
        <v>1611</v>
      </c>
      <c r="L622" s="5" t="s">
        <v>1919</v>
      </c>
    </row>
    <row r="623" spans="1:12" ht="116" x14ac:dyDescent="0.35">
      <c r="A623" s="1" t="s">
        <v>1920</v>
      </c>
      <c r="B623" s="2" t="s">
        <v>1921</v>
      </c>
      <c r="C623" s="2" t="s">
        <v>38</v>
      </c>
      <c r="D623" s="2" t="s">
        <v>15</v>
      </c>
      <c r="E623" s="3">
        <v>44792</v>
      </c>
      <c r="F623" s="3">
        <v>45534</v>
      </c>
      <c r="G623" s="3">
        <v>45511</v>
      </c>
      <c r="H623" s="3">
        <v>45673</v>
      </c>
      <c r="I623" s="2">
        <v>719</v>
      </c>
      <c r="J623" s="4">
        <v>162</v>
      </c>
      <c r="K623" s="5" t="s">
        <v>1922</v>
      </c>
      <c r="L623" s="5" t="s">
        <v>1923</v>
      </c>
    </row>
    <row r="624" spans="1:12" ht="72.5" x14ac:dyDescent="0.35">
      <c r="A624" s="1" t="s">
        <v>1924</v>
      </c>
      <c r="B624" s="2" t="s">
        <v>1925</v>
      </c>
      <c r="C624" s="2" t="s">
        <v>20</v>
      </c>
      <c r="D624" s="2" t="s">
        <v>15</v>
      </c>
      <c r="E624" s="3">
        <v>44791</v>
      </c>
      <c r="F624" s="3">
        <v>45615</v>
      </c>
      <c r="G624" s="3">
        <v>45632</v>
      </c>
      <c r="H624" s="3">
        <v>45632</v>
      </c>
      <c r="I624" s="2">
        <v>841</v>
      </c>
      <c r="J624" s="4">
        <v>0</v>
      </c>
      <c r="K624" s="5" t="s">
        <v>1926</v>
      </c>
      <c r="L624" s="5" t="s">
        <v>1663</v>
      </c>
    </row>
    <row r="625" spans="1:12" ht="409.5" x14ac:dyDescent="0.35">
      <c r="A625" s="1" t="s">
        <v>1927</v>
      </c>
      <c r="B625" s="2" t="s">
        <v>1928</v>
      </c>
      <c r="C625" s="2" t="s">
        <v>14</v>
      </c>
      <c r="D625" s="2" t="s">
        <v>21</v>
      </c>
      <c r="E625" s="3">
        <v>44789</v>
      </c>
      <c r="F625" s="3">
        <v>45701</v>
      </c>
      <c r="G625" s="3">
        <v>45537</v>
      </c>
      <c r="H625" s="3">
        <v>45748</v>
      </c>
      <c r="I625" s="2">
        <v>748</v>
      </c>
      <c r="J625" s="4">
        <v>211</v>
      </c>
      <c r="K625" s="5" t="s">
        <v>1929</v>
      </c>
      <c r="L625" s="5" t="s">
        <v>1930</v>
      </c>
    </row>
    <row r="626" spans="1:12" ht="58" x14ac:dyDescent="0.35">
      <c r="A626" s="1" t="s">
        <v>1931</v>
      </c>
      <c r="B626" s="2" t="s">
        <v>1932</v>
      </c>
      <c r="C626" s="2" t="s">
        <v>20</v>
      </c>
      <c r="D626" s="2" t="s">
        <v>21</v>
      </c>
      <c r="E626" s="3">
        <v>44784</v>
      </c>
      <c r="F626" s="3">
        <v>45524</v>
      </c>
      <c r="G626" s="3">
        <v>45534</v>
      </c>
      <c r="H626" s="3">
        <v>45534</v>
      </c>
      <c r="I626" s="2">
        <v>750</v>
      </c>
      <c r="J626" s="4">
        <v>0</v>
      </c>
      <c r="K626" s="5" t="s">
        <v>1933</v>
      </c>
      <c r="L626" s="5" t="s">
        <v>67</v>
      </c>
    </row>
    <row r="627" spans="1:12" ht="409.5" x14ac:dyDescent="0.35">
      <c r="A627" s="1" t="s">
        <v>1934</v>
      </c>
      <c r="B627" s="2" t="s">
        <v>1935</v>
      </c>
      <c r="C627" s="2" t="s">
        <v>20</v>
      </c>
      <c r="D627" s="2" t="s">
        <v>21</v>
      </c>
      <c r="E627" s="3">
        <v>44784</v>
      </c>
      <c r="F627" s="3">
        <v>45860</v>
      </c>
      <c r="G627" s="3">
        <v>45574</v>
      </c>
      <c r="H627" s="3">
        <v>45867</v>
      </c>
      <c r="I627" s="2">
        <v>790</v>
      </c>
      <c r="J627" s="4">
        <v>293</v>
      </c>
      <c r="K627" s="5" t="s">
        <v>1936</v>
      </c>
      <c r="L627" s="5" t="s">
        <v>742</v>
      </c>
    </row>
    <row r="628" spans="1:12" ht="409.5" x14ac:dyDescent="0.35">
      <c r="A628" s="1" t="s">
        <v>1937</v>
      </c>
      <c r="B628" s="2" t="s">
        <v>1938</v>
      </c>
      <c r="C628" s="2" t="s">
        <v>20</v>
      </c>
      <c r="D628" s="2" t="s">
        <v>21</v>
      </c>
      <c r="E628" s="3">
        <v>44777</v>
      </c>
      <c r="F628" s="3">
        <v>45706</v>
      </c>
      <c r="G628" s="3">
        <v>45600</v>
      </c>
      <c r="H628" s="3">
        <v>45740</v>
      </c>
      <c r="I628" s="2">
        <v>823</v>
      </c>
      <c r="J628" s="4">
        <v>140</v>
      </c>
      <c r="K628" s="5" t="s">
        <v>1939</v>
      </c>
      <c r="L628" s="5" t="s">
        <v>1940</v>
      </c>
    </row>
    <row r="629" spans="1:12" ht="58" x14ac:dyDescent="0.35">
      <c r="A629" s="1" t="s">
        <v>1941</v>
      </c>
      <c r="B629" s="2" t="s">
        <v>1942</v>
      </c>
      <c r="C629" s="2" t="s">
        <v>20</v>
      </c>
      <c r="D629" s="2" t="s">
        <v>15</v>
      </c>
      <c r="E629" s="3">
        <v>45953</v>
      </c>
      <c r="F629" s="3">
        <v>46029</v>
      </c>
      <c r="G629" s="3">
        <v>45993</v>
      </c>
      <c r="H629" s="3">
        <v>46043</v>
      </c>
      <c r="I629" s="2">
        <v>40</v>
      </c>
      <c r="J629" s="4">
        <v>50</v>
      </c>
      <c r="K629" s="5" t="s">
        <v>1943</v>
      </c>
      <c r="L629" s="5" t="s">
        <v>108</v>
      </c>
    </row>
    <row r="630" spans="1:12" ht="87" x14ac:dyDescent="0.35">
      <c r="A630" s="1" t="s">
        <v>1944</v>
      </c>
      <c r="B630" s="2" t="s">
        <v>1945</v>
      </c>
      <c r="C630" s="2" t="s">
        <v>151</v>
      </c>
      <c r="D630" s="2" t="s">
        <v>21</v>
      </c>
      <c r="E630" s="3">
        <v>44757</v>
      </c>
      <c r="F630" s="3">
        <v>45217</v>
      </c>
      <c r="G630" s="3">
        <v>45435</v>
      </c>
      <c r="H630" s="3">
        <v>45435</v>
      </c>
      <c r="I630" s="2">
        <v>678</v>
      </c>
      <c r="J630" s="4">
        <v>0</v>
      </c>
      <c r="K630" s="5" t="s">
        <v>1946</v>
      </c>
      <c r="L630" s="5" t="s">
        <v>1947</v>
      </c>
    </row>
    <row r="631" spans="1:12" ht="130.5" x14ac:dyDescent="0.35">
      <c r="A631" s="1" t="s">
        <v>1948</v>
      </c>
      <c r="B631" s="2" t="s">
        <v>1949</v>
      </c>
      <c r="C631" s="2" t="s">
        <v>187</v>
      </c>
      <c r="D631" s="2" t="s">
        <v>21</v>
      </c>
      <c r="E631" s="3">
        <v>44747</v>
      </c>
      <c r="F631" s="3">
        <v>45104</v>
      </c>
      <c r="G631" s="3">
        <v>45628</v>
      </c>
      <c r="H631" s="3">
        <v>45628</v>
      </c>
      <c r="I631" s="2">
        <v>881</v>
      </c>
      <c r="J631" s="4">
        <v>0</v>
      </c>
      <c r="K631" s="5" t="s">
        <v>1950</v>
      </c>
      <c r="L631" s="5" t="s">
        <v>1951</v>
      </c>
    </row>
    <row r="632" spans="1:12" ht="275.5" x14ac:dyDescent="0.35">
      <c r="A632" s="1" t="s">
        <v>1952</v>
      </c>
      <c r="B632" s="2" t="s">
        <v>1953</v>
      </c>
      <c r="C632" s="2" t="s">
        <v>33</v>
      </c>
      <c r="D632" s="2" t="s">
        <v>21</v>
      </c>
      <c r="E632" s="3">
        <v>44708</v>
      </c>
      <c r="F632" s="3">
        <v>46136</v>
      </c>
      <c r="G632" s="3">
        <v>45537</v>
      </c>
      <c r="H632" s="3">
        <v>45537</v>
      </c>
      <c r="I632" s="2">
        <v>829</v>
      </c>
      <c r="J632" s="4">
        <v>0</v>
      </c>
      <c r="K632" s="5" t="s">
        <v>1954</v>
      </c>
      <c r="L632" s="5" t="s">
        <v>1718</v>
      </c>
    </row>
    <row r="633" spans="1:12" ht="409.5" x14ac:dyDescent="0.35">
      <c r="A633" s="1" t="s">
        <v>1955</v>
      </c>
      <c r="B633" s="2" t="s">
        <v>1956</v>
      </c>
      <c r="C633" s="2" t="s">
        <v>38</v>
      </c>
      <c r="D633" s="2" t="s">
        <v>21</v>
      </c>
      <c r="E633" s="3">
        <v>44707</v>
      </c>
      <c r="F633" s="3">
        <v>45450</v>
      </c>
      <c r="G633" s="3">
        <v>45504</v>
      </c>
      <c r="H633" s="3">
        <v>45504</v>
      </c>
      <c r="I633" s="2">
        <v>797</v>
      </c>
      <c r="J633" s="4">
        <v>0</v>
      </c>
      <c r="K633" s="5" t="s">
        <v>1957</v>
      </c>
      <c r="L633" s="5" t="s">
        <v>1702</v>
      </c>
    </row>
    <row r="634" spans="1:12" ht="409.5" x14ac:dyDescent="0.35">
      <c r="A634" s="1" t="s">
        <v>1958</v>
      </c>
      <c r="B634" s="2" t="s">
        <v>1959</v>
      </c>
      <c r="C634" s="2" t="s">
        <v>151</v>
      </c>
      <c r="D634" s="2" t="s">
        <v>15</v>
      </c>
      <c r="E634" s="3">
        <v>44699</v>
      </c>
      <c r="F634" s="3">
        <v>45946</v>
      </c>
      <c r="G634" s="3">
        <v>44832</v>
      </c>
      <c r="H634" s="3">
        <v>45973</v>
      </c>
      <c r="I634" s="2">
        <v>133</v>
      </c>
      <c r="J634" s="4">
        <v>1141</v>
      </c>
      <c r="K634" s="5" t="s">
        <v>1960</v>
      </c>
      <c r="L634" s="5" t="s">
        <v>1961</v>
      </c>
    </row>
    <row r="635" spans="1:12" ht="377" x14ac:dyDescent="0.35">
      <c r="A635" s="1" t="s">
        <v>1962</v>
      </c>
      <c r="B635" s="2" t="s">
        <v>1963</v>
      </c>
      <c r="C635" s="2" t="s">
        <v>25</v>
      </c>
      <c r="D635" s="2" t="s">
        <v>21</v>
      </c>
      <c r="E635" s="3">
        <v>44684</v>
      </c>
      <c r="F635" s="3">
        <v>45821</v>
      </c>
      <c r="G635" s="3">
        <v>45454</v>
      </c>
      <c r="H635" s="3">
        <v>45856</v>
      </c>
      <c r="I635" s="2">
        <v>770</v>
      </c>
      <c r="J635" s="4">
        <v>402</v>
      </c>
      <c r="K635" s="5" t="s">
        <v>1964</v>
      </c>
      <c r="L635" s="5" t="s">
        <v>1965</v>
      </c>
    </row>
    <row r="636" spans="1:12" ht="101.5" x14ac:dyDescent="0.35">
      <c r="A636" s="1" t="s">
        <v>1966</v>
      </c>
      <c r="B636" s="2" t="s">
        <v>1967</v>
      </c>
      <c r="C636" s="2" t="s">
        <v>38</v>
      </c>
      <c r="D636" s="2" t="s">
        <v>15</v>
      </c>
      <c r="E636" s="3">
        <v>44679</v>
      </c>
      <c r="F636" s="3">
        <v>45895</v>
      </c>
      <c r="G636" s="3">
        <v>45048</v>
      </c>
      <c r="H636" s="3">
        <v>45548</v>
      </c>
      <c r="I636" s="2">
        <v>369</v>
      </c>
      <c r="J636" s="4">
        <v>500</v>
      </c>
      <c r="K636" s="5" t="s">
        <v>1968</v>
      </c>
      <c r="L636" s="5" t="s">
        <v>1969</v>
      </c>
    </row>
    <row r="637" spans="1:12" ht="409.5" x14ac:dyDescent="0.35">
      <c r="A637" s="1" t="s">
        <v>1970</v>
      </c>
      <c r="B637" s="2" t="s">
        <v>1971</v>
      </c>
      <c r="C637" s="2" t="s">
        <v>14</v>
      </c>
      <c r="D637" s="2" t="s">
        <v>15</v>
      </c>
      <c r="E637" s="3">
        <v>44565</v>
      </c>
      <c r="F637" s="3">
        <v>45742</v>
      </c>
      <c r="G637" s="3">
        <v>44774</v>
      </c>
      <c r="H637" s="3">
        <v>45861</v>
      </c>
      <c r="I637" s="2">
        <v>209</v>
      </c>
      <c r="J637" s="4">
        <v>1087</v>
      </c>
      <c r="K637" s="5" t="s">
        <v>1972</v>
      </c>
      <c r="L637" s="5" t="s">
        <v>1973</v>
      </c>
    </row>
    <row r="638" spans="1:12" ht="409.5" x14ac:dyDescent="0.35">
      <c r="A638" s="1" t="s">
        <v>1974</v>
      </c>
      <c r="B638" s="2" t="s">
        <v>1975</v>
      </c>
      <c r="C638" s="2" t="s">
        <v>20</v>
      </c>
      <c r="D638" s="2" t="s">
        <v>21</v>
      </c>
      <c r="E638" s="3">
        <v>44659</v>
      </c>
      <c r="F638" s="3">
        <v>45343</v>
      </c>
      <c r="G638" s="3">
        <v>44939</v>
      </c>
      <c r="H638" s="3">
        <v>45758</v>
      </c>
      <c r="I638" s="2">
        <v>280</v>
      </c>
      <c r="J638" s="4">
        <v>819</v>
      </c>
      <c r="K638" s="5" t="s">
        <v>1976</v>
      </c>
      <c r="L638" s="5" t="s">
        <v>1977</v>
      </c>
    </row>
    <row r="639" spans="1:12" ht="246.5" x14ac:dyDescent="0.35">
      <c r="A639" s="1" t="s">
        <v>1978</v>
      </c>
      <c r="B639" s="2" t="s">
        <v>1979</v>
      </c>
      <c r="C639" s="2" t="s">
        <v>33</v>
      </c>
      <c r="D639" s="2" t="s">
        <v>21</v>
      </c>
      <c r="E639" s="3">
        <v>44657</v>
      </c>
      <c r="F639" s="3">
        <v>45614</v>
      </c>
      <c r="G639" s="3">
        <v>44708</v>
      </c>
      <c r="H639" s="3">
        <v>45776</v>
      </c>
      <c r="I639" s="2">
        <v>51</v>
      </c>
      <c r="J639" s="4">
        <v>1068</v>
      </c>
      <c r="K639" s="5" t="s">
        <v>1131</v>
      </c>
      <c r="L639" s="5" t="s">
        <v>1980</v>
      </c>
    </row>
    <row r="640" spans="1:12" ht="409.5" x14ac:dyDescent="0.35">
      <c r="A640" s="1" t="s">
        <v>1981</v>
      </c>
      <c r="B640" s="2" t="s">
        <v>1982</v>
      </c>
      <c r="C640" s="2" t="s">
        <v>25</v>
      </c>
      <c r="D640" s="2" t="s">
        <v>15</v>
      </c>
      <c r="E640" s="3">
        <v>44651</v>
      </c>
      <c r="F640" s="3">
        <v>45911</v>
      </c>
      <c r="G640" s="3">
        <v>45432</v>
      </c>
      <c r="H640" s="3">
        <v>45811</v>
      </c>
      <c r="I640" s="2">
        <v>781</v>
      </c>
      <c r="J640" s="4">
        <v>379</v>
      </c>
      <c r="K640" s="5" t="s">
        <v>1983</v>
      </c>
      <c r="L640" s="5" t="s">
        <v>1984</v>
      </c>
    </row>
    <row r="641" spans="1:12" ht="290" x14ac:dyDescent="0.35">
      <c r="A641" s="1" t="s">
        <v>1985</v>
      </c>
      <c r="B641" s="2" t="s">
        <v>1986</v>
      </c>
      <c r="C641" s="2" t="s">
        <v>20</v>
      </c>
      <c r="D641" s="2" t="s">
        <v>21</v>
      </c>
      <c r="E641" s="3">
        <v>44644</v>
      </c>
      <c r="F641" s="3">
        <v>45838</v>
      </c>
      <c r="G641" s="3">
        <v>45860</v>
      </c>
      <c r="H641" s="3">
        <v>45860</v>
      </c>
      <c r="I641" s="2">
        <v>1216</v>
      </c>
      <c r="J641" s="4">
        <v>0</v>
      </c>
      <c r="K641" s="5" t="s">
        <v>1987</v>
      </c>
      <c r="L641" s="5" t="s">
        <v>1988</v>
      </c>
    </row>
    <row r="642" spans="1:12" ht="275.5" x14ac:dyDescent="0.35">
      <c r="A642" s="1" t="s">
        <v>1989</v>
      </c>
      <c r="B642" s="2" t="s">
        <v>1990</v>
      </c>
      <c r="C642" s="2" t="s">
        <v>20</v>
      </c>
      <c r="D642" s="2" t="s">
        <v>21</v>
      </c>
      <c r="E642" s="3">
        <v>44624</v>
      </c>
      <c r="F642" s="3">
        <v>45222</v>
      </c>
      <c r="G642" s="3">
        <v>45280</v>
      </c>
      <c r="H642" s="3">
        <v>45384</v>
      </c>
      <c r="I642" s="2">
        <v>656</v>
      </c>
      <c r="J642" s="4">
        <v>104</v>
      </c>
      <c r="K642" s="5" t="s">
        <v>1991</v>
      </c>
      <c r="L642" s="5" t="s">
        <v>1992</v>
      </c>
    </row>
    <row r="643" spans="1:12" ht="409.5" x14ac:dyDescent="0.35">
      <c r="A643" s="1" t="s">
        <v>1993</v>
      </c>
      <c r="B643" s="2" t="s">
        <v>1994</v>
      </c>
      <c r="C643" s="2" t="s">
        <v>20</v>
      </c>
      <c r="D643" s="2" t="s">
        <v>21</v>
      </c>
      <c r="E643" s="3">
        <v>44596</v>
      </c>
      <c r="F643" s="3">
        <v>46098</v>
      </c>
      <c r="G643" s="3">
        <v>46084</v>
      </c>
      <c r="H643" s="3">
        <v>46101</v>
      </c>
      <c r="I643" s="2">
        <v>1488</v>
      </c>
      <c r="J643" s="4">
        <v>17</v>
      </c>
      <c r="K643" s="5" t="s">
        <v>1995</v>
      </c>
      <c r="L643" s="5" t="s">
        <v>1996</v>
      </c>
    </row>
    <row r="644" spans="1:12" ht="409.5" x14ac:dyDescent="0.35">
      <c r="A644" s="1" t="s">
        <v>1997</v>
      </c>
      <c r="B644" s="2" t="s">
        <v>1998</v>
      </c>
      <c r="C644" s="2" t="s">
        <v>20</v>
      </c>
      <c r="D644" s="2" t="s">
        <v>21</v>
      </c>
      <c r="E644" s="3">
        <v>44581</v>
      </c>
      <c r="F644" s="3">
        <v>45895</v>
      </c>
      <c r="G644" s="3">
        <v>45565</v>
      </c>
      <c r="H644" s="3">
        <v>45838</v>
      </c>
      <c r="I644" s="2">
        <v>984</v>
      </c>
      <c r="J644" s="4">
        <v>273</v>
      </c>
      <c r="K644" s="5" t="s">
        <v>1999</v>
      </c>
      <c r="L644" s="5" t="s">
        <v>2000</v>
      </c>
    </row>
    <row r="645" spans="1:12" ht="377" x14ac:dyDescent="0.35">
      <c r="A645" s="1" t="s">
        <v>2001</v>
      </c>
      <c r="B645" s="2" t="s">
        <v>2002</v>
      </c>
      <c r="C645" s="2" t="s">
        <v>38</v>
      </c>
      <c r="D645" s="2" t="s">
        <v>15</v>
      </c>
      <c r="E645" s="3">
        <v>44579</v>
      </c>
      <c r="F645" s="3">
        <v>45954</v>
      </c>
      <c r="G645" s="3">
        <v>45471</v>
      </c>
      <c r="H645" s="3">
        <v>45838</v>
      </c>
      <c r="I645" s="2">
        <v>892</v>
      </c>
      <c r="J645" s="4">
        <v>367</v>
      </c>
      <c r="K645" s="5" t="s">
        <v>2003</v>
      </c>
      <c r="L645" s="5" t="s">
        <v>2004</v>
      </c>
    </row>
    <row r="646" spans="1:12" ht="174" x14ac:dyDescent="0.35">
      <c r="A646" s="1" t="s">
        <v>2005</v>
      </c>
      <c r="B646" s="2" t="s">
        <v>2006</v>
      </c>
      <c r="C646" s="2" t="s">
        <v>20</v>
      </c>
      <c r="D646" s="2" t="s">
        <v>21</v>
      </c>
      <c r="E646" s="3">
        <v>44575</v>
      </c>
      <c r="F646" s="3">
        <v>45308</v>
      </c>
      <c r="G646" s="3">
        <v>45628</v>
      </c>
      <c r="H646" s="3">
        <v>45628</v>
      </c>
      <c r="I646" s="2">
        <v>1053</v>
      </c>
      <c r="J646" s="4">
        <v>0</v>
      </c>
      <c r="K646" s="5" t="s">
        <v>2007</v>
      </c>
      <c r="L646" s="5" t="s">
        <v>2008</v>
      </c>
    </row>
    <row r="647" spans="1:12" ht="101.5" x14ac:dyDescent="0.35">
      <c r="A647" s="1" t="s">
        <v>2009</v>
      </c>
      <c r="B647" s="2" t="s">
        <v>2010</v>
      </c>
      <c r="C647" s="2" t="s">
        <v>38</v>
      </c>
      <c r="D647" s="2" t="s">
        <v>15</v>
      </c>
      <c r="E647" s="3">
        <v>44578</v>
      </c>
      <c r="F647" s="3">
        <v>45467</v>
      </c>
      <c r="G647" s="3">
        <v>44592</v>
      </c>
      <c r="H647" s="3">
        <v>45523</v>
      </c>
      <c r="I647" s="2">
        <v>14</v>
      </c>
      <c r="J647" s="4">
        <v>931</v>
      </c>
      <c r="K647" s="5" t="s">
        <v>2011</v>
      </c>
      <c r="L647" s="5" t="s">
        <v>2012</v>
      </c>
    </row>
    <row r="648" spans="1:12" ht="362.5" x14ac:dyDescent="0.35">
      <c r="A648" s="1" t="s">
        <v>2013</v>
      </c>
      <c r="B648" s="2" t="s">
        <v>2014</v>
      </c>
      <c r="C648" s="2" t="s">
        <v>38</v>
      </c>
      <c r="D648" s="2" t="s">
        <v>21</v>
      </c>
      <c r="E648" s="3">
        <v>44538</v>
      </c>
      <c r="F648" s="3">
        <v>45582</v>
      </c>
      <c r="G648" s="3">
        <v>45628</v>
      </c>
      <c r="H648" s="3">
        <v>45628</v>
      </c>
      <c r="I648" s="2">
        <v>1090</v>
      </c>
      <c r="J648" s="4">
        <v>0</v>
      </c>
      <c r="K648" s="5" t="s">
        <v>2015</v>
      </c>
      <c r="L648" s="5" t="s">
        <v>658</v>
      </c>
    </row>
    <row r="649" spans="1:12" ht="87" x14ac:dyDescent="0.35">
      <c r="A649" s="1" t="s">
        <v>2016</v>
      </c>
      <c r="B649" s="2" t="s">
        <v>2017</v>
      </c>
      <c r="C649" s="2" t="s">
        <v>25</v>
      </c>
      <c r="D649" s="2" t="s">
        <v>21</v>
      </c>
      <c r="E649" s="3">
        <v>44536</v>
      </c>
      <c r="F649" s="3">
        <v>44543</v>
      </c>
      <c r="G649" s="3">
        <v>45699</v>
      </c>
      <c r="H649" s="3">
        <v>45699</v>
      </c>
      <c r="I649" s="2">
        <v>1163</v>
      </c>
      <c r="J649" s="4">
        <v>0</v>
      </c>
      <c r="K649" s="5" t="s">
        <v>2018</v>
      </c>
      <c r="L649" s="5" t="s">
        <v>2019</v>
      </c>
    </row>
    <row r="650" spans="1:12" ht="87" x14ac:dyDescent="0.35">
      <c r="A650" s="1" t="s">
        <v>2020</v>
      </c>
      <c r="B650" s="2" t="s">
        <v>2021</v>
      </c>
      <c r="C650" s="2" t="s">
        <v>38</v>
      </c>
      <c r="D650" s="2" t="s">
        <v>15</v>
      </c>
      <c r="E650" s="3">
        <v>44529</v>
      </c>
      <c r="F650" s="3">
        <v>45973</v>
      </c>
      <c r="G650" s="3">
        <v>45999</v>
      </c>
      <c r="H650" s="3">
        <v>45999</v>
      </c>
      <c r="I650" s="2">
        <v>1470</v>
      </c>
      <c r="J650" s="4">
        <v>0</v>
      </c>
      <c r="K650" s="5" t="s">
        <v>630</v>
      </c>
      <c r="L650" s="5" t="s">
        <v>1914</v>
      </c>
    </row>
    <row r="651" spans="1:12" ht="304.5" x14ac:dyDescent="0.35">
      <c r="A651" s="1" t="s">
        <v>2022</v>
      </c>
      <c r="B651" s="2" t="s">
        <v>2023</v>
      </c>
      <c r="C651" s="2" t="s">
        <v>20</v>
      </c>
      <c r="D651" s="2" t="s">
        <v>21</v>
      </c>
      <c r="E651" s="3">
        <v>44517</v>
      </c>
      <c r="F651" s="3">
        <v>45846</v>
      </c>
      <c r="G651" s="3">
        <v>44900</v>
      </c>
      <c r="H651" s="3">
        <v>45805</v>
      </c>
      <c r="I651" s="2">
        <v>383</v>
      </c>
      <c r="J651" s="4">
        <v>905</v>
      </c>
      <c r="K651" s="5" t="s">
        <v>1102</v>
      </c>
      <c r="L651" s="5" t="s">
        <v>2024</v>
      </c>
    </row>
    <row r="652" spans="1:12" ht="409.5" x14ac:dyDescent="0.35">
      <c r="A652" s="1" t="s">
        <v>2025</v>
      </c>
      <c r="B652" s="2" t="s">
        <v>2026</v>
      </c>
      <c r="C652" s="2" t="s">
        <v>20</v>
      </c>
      <c r="D652" s="2" t="s">
        <v>21</v>
      </c>
      <c r="E652" s="3">
        <v>44504</v>
      </c>
      <c r="F652" s="3">
        <v>45603</v>
      </c>
      <c r="G652" s="3">
        <v>45413</v>
      </c>
      <c r="H652" s="3">
        <v>45566</v>
      </c>
      <c r="I652" s="2">
        <v>909</v>
      </c>
      <c r="J652" s="4">
        <v>153</v>
      </c>
      <c r="K652" s="5" t="s">
        <v>2027</v>
      </c>
      <c r="L652" s="5" t="s">
        <v>2028</v>
      </c>
    </row>
    <row r="653" spans="1:12" ht="43.5" x14ac:dyDescent="0.35">
      <c r="A653" s="1" t="s">
        <v>2029</v>
      </c>
      <c r="B653" s="2" t="s">
        <v>2030</v>
      </c>
      <c r="C653" s="2" t="s">
        <v>20</v>
      </c>
      <c r="D653" s="2" t="s">
        <v>21</v>
      </c>
      <c r="E653" s="3">
        <v>44505</v>
      </c>
      <c r="F653" s="3">
        <v>45477</v>
      </c>
      <c r="G653" s="3">
        <v>45679</v>
      </c>
      <c r="H653" s="3">
        <v>45679</v>
      </c>
      <c r="I653" s="2">
        <v>1174</v>
      </c>
      <c r="J653" s="4">
        <v>0</v>
      </c>
      <c r="K653" s="5" t="s">
        <v>211</v>
      </c>
      <c r="L653" s="5" t="s">
        <v>664</v>
      </c>
    </row>
    <row r="654" spans="1:12" ht="87" x14ac:dyDescent="0.35">
      <c r="A654" s="1" t="s">
        <v>2031</v>
      </c>
      <c r="B654" s="2" t="s">
        <v>2032</v>
      </c>
      <c r="C654" s="2" t="s">
        <v>14</v>
      </c>
      <c r="D654" s="2" t="s">
        <v>21</v>
      </c>
      <c r="E654" s="3">
        <v>44494</v>
      </c>
      <c r="F654" s="3">
        <v>45483</v>
      </c>
      <c r="G654" s="3">
        <v>45701</v>
      </c>
      <c r="H654" s="3">
        <v>45701</v>
      </c>
      <c r="I654" s="2">
        <v>1207</v>
      </c>
      <c r="J654" s="4">
        <v>0</v>
      </c>
      <c r="K654" s="5" t="s">
        <v>218</v>
      </c>
      <c r="L654" s="5" t="s">
        <v>219</v>
      </c>
    </row>
    <row r="655" spans="1:12" ht="246.5" x14ac:dyDescent="0.35">
      <c r="A655" s="1" t="s">
        <v>2033</v>
      </c>
      <c r="B655" s="2" t="s">
        <v>2034</v>
      </c>
      <c r="C655" s="2" t="s">
        <v>20</v>
      </c>
      <c r="D655" s="2" t="s">
        <v>21</v>
      </c>
      <c r="E655" s="3">
        <v>44482</v>
      </c>
      <c r="F655" s="3">
        <v>45407</v>
      </c>
      <c r="G655" s="3">
        <v>45335</v>
      </c>
      <c r="H655" s="3">
        <v>45637</v>
      </c>
      <c r="I655" s="2">
        <v>853</v>
      </c>
      <c r="J655" s="4">
        <v>302</v>
      </c>
      <c r="K655" s="5" t="s">
        <v>2035</v>
      </c>
      <c r="L655" s="5" t="s">
        <v>2036</v>
      </c>
    </row>
    <row r="656" spans="1:12" ht="406" x14ac:dyDescent="0.35">
      <c r="A656" s="1" t="s">
        <v>2037</v>
      </c>
      <c r="B656" s="2" t="s">
        <v>2038</v>
      </c>
      <c r="C656" s="2" t="s">
        <v>137</v>
      </c>
      <c r="D656" s="2" t="s">
        <v>15</v>
      </c>
      <c r="E656" s="3">
        <v>44470</v>
      </c>
      <c r="F656" s="3">
        <v>45624</v>
      </c>
      <c r="G656" s="3">
        <v>45413</v>
      </c>
      <c r="H656" s="3">
        <v>45502</v>
      </c>
      <c r="I656" s="2">
        <v>943</v>
      </c>
      <c r="J656" s="4">
        <v>89</v>
      </c>
      <c r="K656" s="5" t="s">
        <v>2039</v>
      </c>
      <c r="L656" s="5" t="s">
        <v>2040</v>
      </c>
    </row>
    <row r="657" spans="1:12" ht="275.5" x14ac:dyDescent="0.35">
      <c r="A657" s="1" t="s">
        <v>2041</v>
      </c>
      <c r="B657" s="2" t="s">
        <v>2042</v>
      </c>
      <c r="C657" s="2" t="s">
        <v>25</v>
      </c>
      <c r="D657" s="2" t="s">
        <v>21</v>
      </c>
      <c r="E657" s="3">
        <v>44452</v>
      </c>
      <c r="F657" s="3">
        <v>45477</v>
      </c>
      <c r="G657" s="3">
        <v>44756</v>
      </c>
      <c r="H657" s="3">
        <v>45583</v>
      </c>
      <c r="I657" s="2">
        <v>304</v>
      </c>
      <c r="J657" s="4">
        <v>827</v>
      </c>
      <c r="K657" s="5" t="s">
        <v>2043</v>
      </c>
      <c r="L657" s="5" t="s">
        <v>2044</v>
      </c>
    </row>
    <row r="658" spans="1:12" ht="290" x14ac:dyDescent="0.35">
      <c r="A658" s="1" t="s">
        <v>2045</v>
      </c>
      <c r="B658" s="2" t="s">
        <v>2046</v>
      </c>
      <c r="C658" s="2" t="s">
        <v>20</v>
      </c>
      <c r="D658" s="2" t="s">
        <v>21</v>
      </c>
      <c r="E658" s="3">
        <v>44447</v>
      </c>
      <c r="F658" s="3">
        <v>45639</v>
      </c>
      <c r="G658" s="3">
        <v>45555</v>
      </c>
      <c r="H658" s="3">
        <v>45555</v>
      </c>
      <c r="I658" s="2">
        <v>1108</v>
      </c>
      <c r="J658" s="4">
        <v>0</v>
      </c>
      <c r="K658" s="5" t="s">
        <v>2047</v>
      </c>
      <c r="L658" s="5" t="s">
        <v>2048</v>
      </c>
    </row>
    <row r="659" spans="1:12" ht="159.5" x14ac:dyDescent="0.35">
      <c r="A659" s="1" t="s">
        <v>2049</v>
      </c>
      <c r="B659" s="2" t="s">
        <v>2050</v>
      </c>
      <c r="C659" s="2" t="s">
        <v>38</v>
      </c>
      <c r="D659" s="2" t="s">
        <v>21</v>
      </c>
      <c r="E659" s="3">
        <v>44441</v>
      </c>
      <c r="F659" s="3">
        <v>45677</v>
      </c>
      <c r="G659" s="3">
        <v>44525</v>
      </c>
      <c r="H659" s="3">
        <v>45719</v>
      </c>
      <c r="I659" s="2">
        <v>84</v>
      </c>
      <c r="J659" s="4">
        <v>1194</v>
      </c>
      <c r="K659" s="5" t="s">
        <v>2051</v>
      </c>
      <c r="L659" s="5" t="s">
        <v>460</v>
      </c>
    </row>
    <row r="660" spans="1:12" ht="87" x14ac:dyDescent="0.35">
      <c r="A660" s="1" t="s">
        <v>2052</v>
      </c>
      <c r="B660" s="2" t="s">
        <v>2053</v>
      </c>
      <c r="C660" s="2" t="s">
        <v>38</v>
      </c>
      <c r="D660" s="2" t="s">
        <v>15</v>
      </c>
      <c r="E660" s="3">
        <v>44383</v>
      </c>
      <c r="F660" s="3">
        <v>45484</v>
      </c>
      <c r="G660" s="3">
        <v>44441</v>
      </c>
      <c r="H660" s="3">
        <v>45516</v>
      </c>
      <c r="I660" s="2">
        <v>58</v>
      </c>
      <c r="J660" s="4">
        <v>1075</v>
      </c>
      <c r="K660" s="5" t="s">
        <v>2054</v>
      </c>
      <c r="L660" s="5" t="s">
        <v>122</v>
      </c>
    </row>
    <row r="661" spans="1:12" ht="203" x14ac:dyDescent="0.35">
      <c r="A661" s="1" t="s">
        <v>2055</v>
      </c>
      <c r="B661" s="2" t="s">
        <v>2056</v>
      </c>
      <c r="C661" s="2" t="s">
        <v>20</v>
      </c>
      <c r="D661" s="2" t="s">
        <v>21</v>
      </c>
      <c r="E661" s="3">
        <v>44342</v>
      </c>
      <c r="F661" s="3">
        <v>45252</v>
      </c>
      <c r="G661" s="3">
        <v>45310</v>
      </c>
      <c r="H661" s="3">
        <v>45447</v>
      </c>
      <c r="I661" s="2">
        <v>968</v>
      </c>
      <c r="J661" s="4">
        <v>137</v>
      </c>
      <c r="K661" s="5" t="s">
        <v>885</v>
      </c>
      <c r="L661" s="5" t="s">
        <v>2057</v>
      </c>
    </row>
    <row r="662" spans="1:12" ht="43.5" x14ac:dyDescent="0.35">
      <c r="A662" s="1" t="s">
        <v>2058</v>
      </c>
      <c r="B662" s="2" t="s">
        <v>2059</v>
      </c>
      <c r="C662" s="2" t="s">
        <v>25</v>
      </c>
      <c r="D662" s="2" t="s">
        <v>15</v>
      </c>
      <c r="E662" s="3">
        <v>44333</v>
      </c>
      <c r="F662" s="3">
        <v>45006</v>
      </c>
      <c r="G662" s="3">
        <v>45519</v>
      </c>
      <c r="H662" s="3">
        <v>45519</v>
      </c>
      <c r="I662" s="2">
        <v>1186</v>
      </c>
      <c r="J662" s="4">
        <v>0</v>
      </c>
      <c r="K662" s="5" t="s">
        <v>982</v>
      </c>
      <c r="L662" s="5" t="s">
        <v>67</v>
      </c>
    </row>
    <row r="663" spans="1:12" ht="409.5" x14ac:dyDescent="0.35">
      <c r="A663" s="1" t="s">
        <v>2060</v>
      </c>
      <c r="B663" s="2" t="s">
        <v>2061</v>
      </c>
      <c r="C663" s="2" t="s">
        <v>137</v>
      </c>
      <c r="D663" s="2" t="s">
        <v>21</v>
      </c>
      <c r="E663" s="3">
        <v>44280</v>
      </c>
      <c r="F663" s="3">
        <v>45839</v>
      </c>
      <c r="G663" s="3">
        <v>45275</v>
      </c>
      <c r="H663" s="3">
        <v>45839</v>
      </c>
      <c r="I663" s="2">
        <v>995</v>
      </c>
      <c r="J663" s="4">
        <v>564</v>
      </c>
      <c r="K663" s="5" t="s">
        <v>2062</v>
      </c>
      <c r="L663" s="5" t="s">
        <v>2063</v>
      </c>
    </row>
    <row r="664" spans="1:12" ht="188.5" x14ac:dyDescent="0.35">
      <c r="A664" s="1" t="s">
        <v>2064</v>
      </c>
      <c r="B664" s="2" t="s">
        <v>2065</v>
      </c>
      <c r="C664" s="2" t="s">
        <v>20</v>
      </c>
      <c r="D664" s="2" t="s">
        <v>15</v>
      </c>
      <c r="E664" s="3">
        <v>44174</v>
      </c>
      <c r="F664" s="3">
        <v>45433</v>
      </c>
      <c r="G664" s="3">
        <v>45477</v>
      </c>
      <c r="H664" s="3">
        <v>45477</v>
      </c>
      <c r="I664" s="2">
        <v>1303</v>
      </c>
      <c r="J664" s="4">
        <v>0</v>
      </c>
      <c r="K664" s="5" t="s">
        <v>2066</v>
      </c>
      <c r="L664" s="5" t="s">
        <v>488</v>
      </c>
    </row>
    <row r="665" spans="1:12" ht="145" x14ac:dyDescent="0.35">
      <c r="A665" s="1" t="s">
        <v>2067</v>
      </c>
      <c r="B665" s="2" t="s">
        <v>2068</v>
      </c>
      <c r="C665" s="2" t="s">
        <v>25</v>
      </c>
      <c r="D665" s="2" t="s">
        <v>15</v>
      </c>
      <c r="E665" s="3">
        <v>44174</v>
      </c>
      <c r="F665" s="3">
        <v>45393</v>
      </c>
      <c r="G665" s="3">
        <v>45419</v>
      </c>
      <c r="H665" s="3">
        <v>45419</v>
      </c>
      <c r="I665" s="2">
        <v>1245</v>
      </c>
      <c r="J665" s="4">
        <v>0</v>
      </c>
      <c r="K665" s="5" t="s">
        <v>463</v>
      </c>
      <c r="L665" s="5" t="s">
        <v>2069</v>
      </c>
    </row>
    <row r="666" spans="1:12" ht="261" x14ac:dyDescent="0.35">
      <c r="A666" s="1" t="s">
        <v>2070</v>
      </c>
      <c r="B666" s="2" t="s">
        <v>2071</v>
      </c>
      <c r="C666" s="2" t="s">
        <v>38</v>
      </c>
      <c r="D666" s="2" t="s">
        <v>15</v>
      </c>
      <c r="E666" s="3">
        <v>44158</v>
      </c>
      <c r="F666" s="3">
        <v>45376</v>
      </c>
      <c r="G666" s="3">
        <v>44900</v>
      </c>
      <c r="H666" s="3">
        <v>45489</v>
      </c>
      <c r="I666" s="2">
        <v>742</v>
      </c>
      <c r="J666" s="4">
        <v>589</v>
      </c>
      <c r="K666" s="5" t="s">
        <v>2072</v>
      </c>
      <c r="L666" s="5" t="s">
        <v>2073</v>
      </c>
    </row>
    <row r="667" spans="1:12" ht="333.5" x14ac:dyDescent="0.35">
      <c r="A667" s="1" t="s">
        <v>2074</v>
      </c>
      <c r="B667" s="2" t="s">
        <v>2075</v>
      </c>
      <c r="C667" s="2" t="s">
        <v>284</v>
      </c>
      <c r="D667" s="2" t="s">
        <v>21</v>
      </c>
      <c r="E667" s="3">
        <v>44138</v>
      </c>
      <c r="F667" s="3">
        <v>45769</v>
      </c>
      <c r="G667" s="3">
        <v>45383</v>
      </c>
      <c r="H667" s="3">
        <v>45778</v>
      </c>
      <c r="I667" s="2">
        <v>1245</v>
      </c>
      <c r="J667" s="4">
        <v>395</v>
      </c>
      <c r="K667" s="5" t="s">
        <v>2076</v>
      </c>
      <c r="L667" s="5" t="s">
        <v>2077</v>
      </c>
    </row>
    <row r="668" spans="1:12" ht="130.5" x14ac:dyDescent="0.35">
      <c r="A668" s="1" t="s">
        <v>2078</v>
      </c>
      <c r="B668" s="2" t="s">
        <v>2079</v>
      </c>
      <c r="C668" s="2" t="s">
        <v>38</v>
      </c>
      <c r="D668" s="2" t="s">
        <v>15</v>
      </c>
      <c r="E668" s="3">
        <v>44137</v>
      </c>
      <c r="F668" s="3">
        <v>46063</v>
      </c>
      <c r="G668" s="3">
        <v>46078</v>
      </c>
      <c r="H668" s="3">
        <v>46078</v>
      </c>
      <c r="I668" s="2">
        <v>1941</v>
      </c>
      <c r="J668" s="4">
        <v>0</v>
      </c>
      <c r="K668" s="5" t="s">
        <v>2080</v>
      </c>
      <c r="L668" s="5" t="s">
        <v>2081</v>
      </c>
    </row>
    <row r="669" spans="1:12" ht="333.5" x14ac:dyDescent="0.35">
      <c r="A669" s="1" t="s">
        <v>2082</v>
      </c>
      <c r="B669" s="2" t="s">
        <v>2083</v>
      </c>
      <c r="C669" s="2" t="s">
        <v>33</v>
      </c>
      <c r="D669" s="2" t="s">
        <v>21</v>
      </c>
      <c r="E669" s="3">
        <v>44137</v>
      </c>
      <c r="F669" s="3">
        <v>45810</v>
      </c>
      <c r="G669" s="3">
        <v>45810</v>
      </c>
      <c r="H669" s="3">
        <v>45852</v>
      </c>
      <c r="I669" s="2">
        <v>1673</v>
      </c>
      <c r="J669" s="4">
        <v>42</v>
      </c>
      <c r="K669" s="5" t="s">
        <v>2084</v>
      </c>
      <c r="L669" s="5" t="s">
        <v>2085</v>
      </c>
    </row>
    <row r="670" spans="1:12" ht="409.5" x14ac:dyDescent="0.35">
      <c r="A670" s="1" t="s">
        <v>2086</v>
      </c>
      <c r="B670" s="2" t="s">
        <v>2087</v>
      </c>
      <c r="C670" s="2" t="s">
        <v>14</v>
      </c>
      <c r="D670" s="2" t="s">
        <v>21</v>
      </c>
      <c r="E670" s="3">
        <v>44096</v>
      </c>
      <c r="F670" s="3">
        <v>46127</v>
      </c>
      <c r="G670" s="3">
        <v>45978</v>
      </c>
      <c r="H670" s="3">
        <v>46128</v>
      </c>
      <c r="I670" s="2">
        <v>1882</v>
      </c>
      <c r="J670" s="4">
        <v>150</v>
      </c>
      <c r="K670" s="5" t="s">
        <v>2088</v>
      </c>
      <c r="L670" s="5" t="s">
        <v>2089</v>
      </c>
    </row>
    <row r="671" spans="1:12" ht="203" x14ac:dyDescent="0.35">
      <c r="A671" s="1" t="s">
        <v>2090</v>
      </c>
      <c r="B671" s="2" t="s">
        <v>2091</v>
      </c>
      <c r="C671" s="2" t="s">
        <v>38</v>
      </c>
      <c r="D671" s="2" t="s">
        <v>15</v>
      </c>
      <c r="E671" s="3">
        <v>44090</v>
      </c>
      <c r="F671" s="3">
        <v>45891</v>
      </c>
      <c r="G671" s="3">
        <v>45897</v>
      </c>
      <c r="H671" s="3">
        <v>45904</v>
      </c>
      <c r="I671" s="2">
        <v>1807</v>
      </c>
      <c r="J671" s="4">
        <v>7</v>
      </c>
      <c r="K671" s="5" t="s">
        <v>2092</v>
      </c>
      <c r="L671" s="5" t="s">
        <v>2093</v>
      </c>
    </row>
    <row r="672" spans="1:12" ht="261" x14ac:dyDescent="0.35">
      <c r="A672" s="1" t="s">
        <v>2094</v>
      </c>
      <c r="B672" s="2" t="s">
        <v>2095</v>
      </c>
      <c r="C672" s="2" t="s">
        <v>38</v>
      </c>
      <c r="D672" s="2" t="s">
        <v>15</v>
      </c>
      <c r="E672" s="3">
        <v>44060</v>
      </c>
      <c r="F672" s="3">
        <v>45835</v>
      </c>
      <c r="G672" s="3">
        <v>44504</v>
      </c>
      <c r="H672" s="3">
        <v>45846</v>
      </c>
      <c r="I672" s="2">
        <v>444</v>
      </c>
      <c r="J672" s="4">
        <v>1342</v>
      </c>
      <c r="K672" s="5" t="s">
        <v>2096</v>
      </c>
      <c r="L672" s="5" t="s">
        <v>2097</v>
      </c>
    </row>
    <row r="673" spans="1:12" ht="145" x14ac:dyDescent="0.35">
      <c r="A673" s="1" t="s">
        <v>2098</v>
      </c>
      <c r="B673" s="2" t="s">
        <v>2099</v>
      </c>
      <c r="C673" s="2" t="s">
        <v>38</v>
      </c>
      <c r="D673" s="2" t="s">
        <v>15</v>
      </c>
      <c r="E673" s="3">
        <v>44014</v>
      </c>
      <c r="F673" s="3">
        <v>45377</v>
      </c>
      <c r="G673" s="3">
        <v>45307</v>
      </c>
      <c r="H673" s="3">
        <v>45392</v>
      </c>
      <c r="I673" s="2">
        <v>1293</v>
      </c>
      <c r="J673" s="4">
        <v>85</v>
      </c>
      <c r="K673" s="5" t="s">
        <v>2100</v>
      </c>
      <c r="L673" s="5" t="s">
        <v>2101</v>
      </c>
    </row>
    <row r="674" spans="1:12" ht="409.5" x14ac:dyDescent="0.35">
      <c r="A674" s="1" t="s">
        <v>2102</v>
      </c>
      <c r="B674" s="2" t="s">
        <v>2103</v>
      </c>
      <c r="C674" s="2" t="s">
        <v>20</v>
      </c>
      <c r="D674" s="2" t="s">
        <v>21</v>
      </c>
      <c r="E674" s="3">
        <v>43941</v>
      </c>
      <c r="F674" s="3">
        <v>46134</v>
      </c>
      <c r="G674" s="3">
        <v>45351</v>
      </c>
      <c r="H674" s="3">
        <v>46098</v>
      </c>
      <c r="I674" s="2">
        <v>1410</v>
      </c>
      <c r="J674" s="4">
        <v>747</v>
      </c>
      <c r="K674" s="5" t="s">
        <v>2104</v>
      </c>
      <c r="L674" s="5" t="s">
        <v>2105</v>
      </c>
    </row>
    <row r="675" spans="1:12" ht="116" x14ac:dyDescent="0.35">
      <c r="A675" s="1" t="s">
        <v>2106</v>
      </c>
      <c r="B675" s="2" t="s">
        <v>2107</v>
      </c>
      <c r="C675" s="2" t="s">
        <v>25</v>
      </c>
      <c r="D675" s="2" t="s">
        <v>15</v>
      </c>
      <c r="E675" s="3">
        <v>43881</v>
      </c>
      <c r="F675" s="3">
        <v>45786</v>
      </c>
      <c r="G675" s="3">
        <v>45743</v>
      </c>
      <c r="H675" s="3">
        <v>45805</v>
      </c>
      <c r="I675" s="2">
        <v>1862</v>
      </c>
      <c r="J675" s="4">
        <v>62</v>
      </c>
      <c r="K675" s="5" t="s">
        <v>2108</v>
      </c>
      <c r="L675" s="5" t="s">
        <v>2109</v>
      </c>
    </row>
    <row r="676" spans="1:12" ht="116" x14ac:dyDescent="0.35">
      <c r="A676" s="1" t="s">
        <v>2110</v>
      </c>
      <c r="B676" s="2" t="s">
        <v>2111</v>
      </c>
      <c r="C676" s="2" t="s">
        <v>187</v>
      </c>
      <c r="D676" s="2" t="s">
        <v>15</v>
      </c>
      <c r="E676" s="3">
        <v>43648</v>
      </c>
      <c r="F676" s="3">
        <v>45558</v>
      </c>
      <c r="G676" s="3">
        <v>45497</v>
      </c>
      <c r="H676" s="3">
        <v>45497</v>
      </c>
      <c r="I676" s="2">
        <v>1849</v>
      </c>
      <c r="J676" s="4">
        <v>0</v>
      </c>
      <c r="K676" s="5" t="s">
        <v>1532</v>
      </c>
      <c r="L676" s="5" t="s">
        <v>2112</v>
      </c>
    </row>
    <row r="677" spans="1:12" ht="29" x14ac:dyDescent="0.35">
      <c r="A677" s="1" t="s">
        <v>2113</v>
      </c>
      <c r="B677" s="2" t="s">
        <v>2114</v>
      </c>
      <c r="C677" s="2" t="s">
        <v>38</v>
      </c>
      <c r="D677" s="2" t="s">
        <v>15</v>
      </c>
      <c r="E677" s="3">
        <v>43412</v>
      </c>
      <c r="F677" s="3">
        <v>45457</v>
      </c>
      <c r="G677" s="3">
        <v>45483</v>
      </c>
      <c r="H677" s="3">
        <v>45483</v>
      </c>
      <c r="I677" s="2">
        <v>2071</v>
      </c>
      <c r="J677" s="4">
        <v>0</v>
      </c>
      <c r="K677" s="5" t="s">
        <v>2115</v>
      </c>
      <c r="L677" s="5" t="s">
        <v>1201</v>
      </c>
    </row>
    <row r="678" spans="1:12" ht="43.5" x14ac:dyDescent="0.35">
      <c r="A678" s="1" t="s">
        <v>2116</v>
      </c>
      <c r="B678" s="2" t="s">
        <v>2117</v>
      </c>
      <c r="C678" t="s">
        <v>701</v>
      </c>
      <c r="D678" t="s">
        <v>701</v>
      </c>
      <c r="E678" s="3">
        <v>43223</v>
      </c>
      <c r="F678" s="3">
        <v>45527</v>
      </c>
      <c r="G678" s="3">
        <v>45611</v>
      </c>
      <c r="H678" s="3">
        <v>45611</v>
      </c>
      <c r="I678" s="2">
        <v>2388</v>
      </c>
      <c r="J678" s="4">
        <v>0</v>
      </c>
      <c r="K678" s="5" t="s">
        <v>2118</v>
      </c>
      <c r="L678" s="5" t="s">
        <v>35</v>
      </c>
    </row>
    <row r="679" spans="1:12" ht="43.5" x14ac:dyDescent="0.35">
      <c r="A679" s="1" t="s">
        <v>2119</v>
      </c>
      <c r="B679" s="2" t="s">
        <v>2120</v>
      </c>
      <c r="C679" t="s">
        <v>701</v>
      </c>
      <c r="D679" t="s">
        <v>701</v>
      </c>
      <c r="E679" s="3">
        <v>43180</v>
      </c>
      <c r="F679" s="3">
        <v>45467</v>
      </c>
      <c r="G679" s="3">
        <v>45464</v>
      </c>
      <c r="H679" s="3">
        <v>45499</v>
      </c>
      <c r="I679" s="2">
        <v>2284</v>
      </c>
      <c r="J679" s="4">
        <v>35</v>
      </c>
      <c r="K679" s="5" t="s">
        <v>70</v>
      </c>
      <c r="L679" s="5" t="s">
        <v>2121</v>
      </c>
    </row>
    <row r="680" spans="1:12" ht="217.5" x14ac:dyDescent="0.35">
      <c r="A680" s="1" t="s">
        <v>2122</v>
      </c>
      <c r="B680" s="2" t="s">
        <v>2123</v>
      </c>
      <c r="C680" s="2" t="s">
        <v>38</v>
      </c>
      <c r="D680" s="2" t="s">
        <v>15</v>
      </c>
      <c r="E680" s="3">
        <v>43059</v>
      </c>
      <c r="F680" s="3">
        <v>45910</v>
      </c>
      <c r="G680" s="3">
        <v>45673</v>
      </c>
      <c r="H680" s="3">
        <v>45877</v>
      </c>
      <c r="I680" s="2">
        <v>2614</v>
      </c>
      <c r="J680" s="4">
        <v>204</v>
      </c>
      <c r="K680" s="5" t="s">
        <v>2124</v>
      </c>
      <c r="L680" s="5" t="s">
        <v>2125</v>
      </c>
    </row>
    <row r="681" spans="1:12" ht="29" x14ac:dyDescent="0.35">
      <c r="A681" s="1" t="s">
        <v>2126</v>
      </c>
      <c r="B681" s="2" t="s">
        <v>2127</v>
      </c>
      <c r="C681" s="2" t="s">
        <v>38</v>
      </c>
      <c r="D681" s="2" t="s">
        <v>15</v>
      </c>
      <c r="E681" s="3">
        <v>42789</v>
      </c>
      <c r="F681" s="3">
        <v>45896</v>
      </c>
      <c r="G681" s="3">
        <v>46097</v>
      </c>
      <c r="H681" s="3">
        <v>46097</v>
      </c>
      <c r="I681" s="2">
        <v>3308</v>
      </c>
      <c r="J681" s="4">
        <v>0</v>
      </c>
      <c r="K681" s="5" t="s">
        <v>2128</v>
      </c>
      <c r="L681" s="5" t="s">
        <v>35</v>
      </c>
    </row>
    <row r="682" spans="1:12" ht="116" x14ac:dyDescent="0.35">
      <c r="A682" s="1" t="s">
        <v>2129</v>
      </c>
      <c r="B682" s="2" t="s">
        <v>2130</v>
      </c>
      <c r="C682" s="2" t="s">
        <v>38</v>
      </c>
      <c r="D682" s="2" t="s">
        <v>21</v>
      </c>
      <c r="E682" s="3">
        <v>42057</v>
      </c>
      <c r="F682" s="3">
        <v>45980</v>
      </c>
      <c r="G682" s="3">
        <v>46083</v>
      </c>
      <c r="H682" s="3">
        <v>46083</v>
      </c>
      <c r="I682" s="2">
        <v>4026</v>
      </c>
      <c r="J682" s="4">
        <v>0</v>
      </c>
      <c r="K682" s="5" t="s">
        <v>2131</v>
      </c>
      <c r="L682" s="5" t="s">
        <v>2132</v>
      </c>
    </row>
    <row r="683" spans="1:12" ht="116" x14ac:dyDescent="0.35">
      <c r="A683" s="1" t="s">
        <v>2133</v>
      </c>
      <c r="B683" s="2" t="s">
        <v>2134</v>
      </c>
      <c r="C683" t="s">
        <v>701</v>
      </c>
      <c r="D683" t="s">
        <v>701</v>
      </c>
      <c r="E683" s="3">
        <v>42035</v>
      </c>
      <c r="F683" s="3">
        <v>45455</v>
      </c>
      <c r="G683" s="3">
        <v>45460</v>
      </c>
      <c r="H683" s="3">
        <v>45460</v>
      </c>
      <c r="I683" s="2">
        <v>3425</v>
      </c>
      <c r="J683" s="4">
        <v>0</v>
      </c>
      <c r="K683" s="5" t="s">
        <v>2135</v>
      </c>
      <c r="L683" s="5" t="s">
        <v>2136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topLeftCell="F14" workbookViewId="0">
      <selection activeCell="A25" sqref="A25:XFD25"/>
    </sheetView>
  </sheetViews>
  <sheetFormatPr defaultRowHeight="14.5" x14ac:dyDescent="0.35"/>
  <cols>
    <col min="1" max="1" width="26" customWidth="1"/>
    <col min="2" max="2" width="36" customWidth="1"/>
    <col min="3" max="5" width="16" customWidth="1"/>
    <col min="6" max="6" width="43.90625" customWidth="1"/>
    <col min="7" max="8" width="30" customWidth="1"/>
    <col min="10" max="10" width="32" customWidth="1"/>
    <col min="11" max="12" width="16" customWidth="1"/>
  </cols>
  <sheetData>
    <row r="1" spans="1:12" ht="50" customHeight="1" x14ac:dyDescent="0.5">
      <c r="A1" s="44" t="s">
        <v>2137</v>
      </c>
      <c r="B1" s="8"/>
      <c r="C1" s="8"/>
      <c r="D1" s="8"/>
      <c r="E1" s="8"/>
      <c r="F1" s="8"/>
      <c r="G1" s="8"/>
      <c r="H1" s="8"/>
    </row>
    <row r="2" spans="1:12" ht="81.5" customHeight="1" x14ac:dyDescent="0.35">
      <c r="A2" s="9" t="s">
        <v>2138</v>
      </c>
      <c r="B2" s="9"/>
      <c r="C2" s="9"/>
      <c r="D2" s="9"/>
      <c r="E2" s="9"/>
      <c r="F2" s="9"/>
      <c r="G2" s="9"/>
      <c r="H2" s="9"/>
    </row>
    <row r="3" spans="1:12" ht="29" x14ac:dyDescent="0.35">
      <c r="A3" s="10" t="s">
        <v>2139</v>
      </c>
      <c r="B3" s="11" t="s">
        <v>2140</v>
      </c>
      <c r="C3" s="11" t="s">
        <v>2141</v>
      </c>
      <c r="D3" s="11" t="s">
        <v>2142</v>
      </c>
      <c r="E3" s="11"/>
      <c r="F3" s="11" t="s">
        <v>2143</v>
      </c>
      <c r="G3" s="11"/>
      <c r="H3" s="12"/>
      <c r="J3" s="10" t="s">
        <v>2144</v>
      </c>
      <c r="K3" s="11" t="s">
        <v>2145</v>
      </c>
      <c r="L3" s="12" t="s">
        <v>2146</v>
      </c>
    </row>
    <row r="4" spans="1:12" ht="30" customHeight="1" x14ac:dyDescent="0.35">
      <c r="A4" s="13" t="s">
        <v>2147</v>
      </c>
      <c r="B4" s="14">
        <v>682</v>
      </c>
      <c r="C4" s="14">
        <v>568</v>
      </c>
      <c r="D4" s="14">
        <v>408</v>
      </c>
      <c r="E4" s="14"/>
      <c r="F4" s="14" t="s">
        <v>2148</v>
      </c>
      <c r="G4" s="14"/>
      <c r="H4" s="15"/>
      <c r="J4" s="13" t="s">
        <v>938</v>
      </c>
      <c r="K4" s="29">
        <v>0.64412336085478383</v>
      </c>
      <c r="L4" s="39">
        <v>175.61874696454589</v>
      </c>
    </row>
    <row r="5" spans="1:12" ht="30" customHeight="1" x14ac:dyDescent="0.35">
      <c r="A5" s="16" t="s">
        <v>2149</v>
      </c>
      <c r="B5" s="17">
        <v>244</v>
      </c>
      <c r="C5" s="17">
        <v>209</v>
      </c>
      <c r="D5" s="17">
        <v>157</v>
      </c>
      <c r="E5" s="17"/>
      <c r="F5" s="17" t="s">
        <v>2150</v>
      </c>
      <c r="G5" s="17"/>
      <c r="H5" s="18"/>
      <c r="J5" s="16" t="s">
        <v>2151</v>
      </c>
      <c r="K5" s="24">
        <v>0.59879867439933721</v>
      </c>
      <c r="L5" s="40">
        <v>162.26139188069592</v>
      </c>
    </row>
    <row r="6" spans="1:12" ht="30" customHeight="1" x14ac:dyDescent="0.35">
      <c r="A6" s="45" t="s">
        <v>2152</v>
      </c>
      <c r="B6" s="24">
        <v>0.35777126099706746</v>
      </c>
      <c r="C6" s="24">
        <v>0.36795774647887325</v>
      </c>
      <c r="D6" s="24">
        <v>0.38480392156862747</v>
      </c>
      <c r="E6" s="17"/>
      <c r="F6" s="17" t="s">
        <v>2153</v>
      </c>
      <c r="G6" s="17"/>
      <c r="H6" s="18"/>
      <c r="J6" s="16" t="s">
        <v>937</v>
      </c>
      <c r="K6" s="24">
        <v>0.7028420523138833</v>
      </c>
      <c r="L6" s="40">
        <v>160.23013078470825</v>
      </c>
    </row>
    <row r="7" spans="1:12" ht="30" customHeight="1" x14ac:dyDescent="0.35">
      <c r="A7" s="45" t="s">
        <v>2154</v>
      </c>
      <c r="B7" s="25">
        <v>68.347507331378296</v>
      </c>
      <c r="C7" s="25">
        <v>78.394366197183103</v>
      </c>
      <c r="D7" s="25">
        <v>98.975490196078425</v>
      </c>
      <c r="E7" s="17"/>
      <c r="F7" s="17" t="s">
        <v>2155</v>
      </c>
      <c r="G7" s="17"/>
      <c r="H7" s="18"/>
      <c r="J7" s="16" t="s">
        <v>2156</v>
      </c>
      <c r="K7" s="24">
        <v>0.47436179577464788</v>
      </c>
      <c r="L7" s="40">
        <v>145.29511443661971</v>
      </c>
    </row>
    <row r="8" spans="1:12" ht="30" customHeight="1" x14ac:dyDescent="0.35">
      <c r="A8" s="16" t="s">
        <v>2157</v>
      </c>
      <c r="B8" s="25">
        <v>191.03688524590163</v>
      </c>
      <c r="C8" s="25">
        <v>213.05263157894737</v>
      </c>
      <c r="D8" s="25">
        <v>257.21019108280257</v>
      </c>
      <c r="E8" s="17"/>
      <c r="F8" s="17" t="s">
        <v>2158</v>
      </c>
      <c r="G8" s="17"/>
      <c r="H8" s="18"/>
      <c r="J8" s="16" t="s">
        <v>1471</v>
      </c>
      <c r="K8" s="24">
        <v>0.47346871929249917</v>
      </c>
      <c r="L8" s="40">
        <v>141.62528660334098</v>
      </c>
    </row>
    <row r="9" spans="1:12" ht="30" customHeight="1" x14ac:dyDescent="0.35">
      <c r="A9" s="16" t="s">
        <v>2159</v>
      </c>
      <c r="B9" s="25">
        <v>91</v>
      </c>
      <c r="C9" s="25">
        <v>112</v>
      </c>
      <c r="D9" s="25">
        <v>162</v>
      </c>
      <c r="E9" s="17"/>
      <c r="F9" s="17" t="s">
        <v>2160</v>
      </c>
      <c r="G9" s="17"/>
      <c r="H9" s="18"/>
      <c r="J9" s="16" t="s">
        <v>1246</v>
      </c>
      <c r="K9" s="24">
        <v>0.3965094917330067</v>
      </c>
      <c r="L9" s="40">
        <v>135.65054092671974</v>
      </c>
    </row>
    <row r="10" spans="1:12" ht="30" customHeight="1" x14ac:dyDescent="0.35">
      <c r="A10" s="16" t="s">
        <v>2161</v>
      </c>
      <c r="B10" s="25">
        <v>225.25</v>
      </c>
      <c r="C10" s="25">
        <v>256</v>
      </c>
      <c r="D10" s="25">
        <v>367</v>
      </c>
      <c r="E10" s="17"/>
      <c r="F10" s="17" t="s">
        <v>2162</v>
      </c>
      <c r="G10" s="17"/>
      <c r="H10" s="18"/>
      <c r="J10" s="16" t="s">
        <v>2163</v>
      </c>
      <c r="K10" s="24">
        <v>0.42898401645830042</v>
      </c>
      <c r="L10" s="40">
        <v>121.35891755024529</v>
      </c>
    </row>
    <row r="11" spans="1:12" ht="30" customHeight="1" x14ac:dyDescent="0.35">
      <c r="A11" s="16" t="s">
        <v>2164</v>
      </c>
      <c r="B11" s="25">
        <v>522.40000000000055</v>
      </c>
      <c r="C11" s="25">
        <v>567.20000000000027</v>
      </c>
      <c r="D11" s="25">
        <v>630.8000000000003</v>
      </c>
      <c r="E11" s="17"/>
      <c r="F11" s="17" t="s">
        <v>2165</v>
      </c>
      <c r="G11" s="17"/>
      <c r="H11" s="18"/>
      <c r="J11" s="19" t="s">
        <v>310</v>
      </c>
      <c r="K11" s="30">
        <v>0.49273347088902847</v>
      </c>
      <c r="L11" s="41">
        <v>120.15214856015071</v>
      </c>
    </row>
    <row r="12" spans="1:12" ht="10" customHeight="1" x14ac:dyDescent="0.35">
      <c r="A12" s="16"/>
      <c r="B12" s="17"/>
      <c r="C12" s="17"/>
      <c r="D12" s="17"/>
      <c r="E12" s="17"/>
      <c r="F12" s="17"/>
      <c r="G12" s="17"/>
      <c r="H12" s="18"/>
    </row>
    <row r="13" spans="1:12" ht="35.5" customHeight="1" x14ac:dyDescent="0.35">
      <c r="A13" s="46" t="s">
        <v>2166</v>
      </c>
      <c r="B13" s="22"/>
      <c r="C13" s="22"/>
      <c r="D13" s="22"/>
      <c r="E13" s="22"/>
      <c r="F13" s="22"/>
      <c r="G13" s="22"/>
      <c r="H13" s="23"/>
    </row>
    <row r="14" spans="1:12" ht="47.5" customHeight="1" x14ac:dyDescent="0.35">
      <c r="A14" s="16" t="s">
        <v>2167</v>
      </c>
      <c r="B14" s="17" t="s">
        <v>2168</v>
      </c>
      <c r="C14" s="17" t="s">
        <v>2169</v>
      </c>
      <c r="D14" s="47" t="s">
        <v>2145</v>
      </c>
      <c r="E14" s="25" t="s">
        <v>2170</v>
      </c>
      <c r="F14" s="24" t="s">
        <v>2171</v>
      </c>
      <c r="G14" s="24" t="s">
        <v>2172</v>
      </c>
      <c r="H14" s="18" t="s">
        <v>2173</v>
      </c>
    </row>
    <row r="15" spans="1:12" ht="30" customHeight="1" x14ac:dyDescent="0.35">
      <c r="A15" s="16" t="s">
        <v>2174</v>
      </c>
      <c r="B15" s="17" t="s">
        <v>938</v>
      </c>
      <c r="C15" s="17">
        <v>38</v>
      </c>
      <c r="D15" s="24">
        <v>0.64412336085478383</v>
      </c>
      <c r="E15" s="25">
        <v>175.61874696454589</v>
      </c>
      <c r="F15" s="24">
        <v>0.55263157894736847</v>
      </c>
      <c r="G15" s="24">
        <v>0.39473684210526316</v>
      </c>
      <c r="H15" s="18" t="s">
        <v>2175</v>
      </c>
    </row>
    <row r="16" spans="1:12" ht="30" customHeight="1" x14ac:dyDescent="0.35">
      <c r="A16" s="16" t="s">
        <v>2174</v>
      </c>
      <c r="B16" s="17" t="s">
        <v>2151</v>
      </c>
      <c r="C16" s="17">
        <v>14</v>
      </c>
      <c r="D16" s="24">
        <v>0.59879867439933721</v>
      </c>
      <c r="E16" s="25">
        <v>162.26139188069592</v>
      </c>
      <c r="F16" s="24">
        <v>0.7142857142857143</v>
      </c>
      <c r="G16" s="24">
        <v>0.5714285714285714</v>
      </c>
      <c r="H16" s="18" t="s">
        <v>2176</v>
      </c>
    </row>
    <row r="17" spans="1:8" ht="30" customHeight="1" x14ac:dyDescent="0.35">
      <c r="A17" s="16" t="s">
        <v>2177</v>
      </c>
      <c r="B17" s="17" t="s">
        <v>937</v>
      </c>
      <c r="C17" s="17">
        <v>36</v>
      </c>
      <c r="D17" s="24">
        <v>0.7028420523138833</v>
      </c>
      <c r="E17" s="25">
        <v>160.23013078470825</v>
      </c>
      <c r="F17" s="24">
        <v>0.52777777777777779</v>
      </c>
      <c r="G17" s="24">
        <v>0.3888888888888889</v>
      </c>
      <c r="H17" s="18" t="s">
        <v>2175</v>
      </c>
    </row>
    <row r="18" spans="1:8" ht="30" customHeight="1" x14ac:dyDescent="0.35">
      <c r="A18" s="16" t="s">
        <v>2177</v>
      </c>
      <c r="B18" s="17" t="s">
        <v>2156</v>
      </c>
      <c r="C18" s="17">
        <v>44</v>
      </c>
      <c r="D18" s="24">
        <v>0.47436179577464788</v>
      </c>
      <c r="E18" s="25">
        <v>145.29511443661971</v>
      </c>
      <c r="F18" s="24">
        <v>0.43181818181818182</v>
      </c>
      <c r="G18" s="24">
        <v>0.38636363636363635</v>
      </c>
      <c r="H18" s="18" t="s">
        <v>2175</v>
      </c>
    </row>
    <row r="19" spans="1:8" ht="30" customHeight="1" x14ac:dyDescent="0.35">
      <c r="A19" s="16" t="s">
        <v>2177</v>
      </c>
      <c r="B19" s="17" t="s">
        <v>1471</v>
      </c>
      <c r="C19" s="17">
        <v>23</v>
      </c>
      <c r="D19" s="24">
        <v>0.47346871929249917</v>
      </c>
      <c r="E19" s="25">
        <v>141.62528660334098</v>
      </c>
      <c r="F19" s="24">
        <v>0.47826086956521741</v>
      </c>
      <c r="G19" s="24">
        <v>0.47826086956521741</v>
      </c>
      <c r="H19" s="18" t="s">
        <v>2175</v>
      </c>
    </row>
    <row r="20" spans="1:8" ht="30" customHeight="1" x14ac:dyDescent="0.35">
      <c r="A20" s="16" t="s">
        <v>2174</v>
      </c>
      <c r="B20" s="17" t="s">
        <v>1246</v>
      </c>
      <c r="C20" s="17">
        <v>49</v>
      </c>
      <c r="D20" s="24">
        <v>0.3965094917330067</v>
      </c>
      <c r="E20" s="25">
        <v>135.65054092671974</v>
      </c>
      <c r="F20" s="24">
        <v>0.2857142857142857</v>
      </c>
      <c r="G20" s="24">
        <v>0.22448979591836735</v>
      </c>
      <c r="H20" s="18" t="s">
        <v>2175</v>
      </c>
    </row>
    <row r="21" spans="1:8" ht="30" customHeight="1" x14ac:dyDescent="0.35">
      <c r="A21" s="16" t="s">
        <v>2174</v>
      </c>
      <c r="B21" s="17" t="s">
        <v>356</v>
      </c>
      <c r="C21" s="17">
        <v>158</v>
      </c>
      <c r="D21" s="24">
        <v>0.42898401645830042</v>
      </c>
      <c r="E21" s="25">
        <v>121.35891755024529</v>
      </c>
      <c r="F21" s="24">
        <v>0.30379746835443039</v>
      </c>
      <c r="G21" s="24">
        <v>0.26582278481012656</v>
      </c>
      <c r="H21" s="18" t="s">
        <v>2178</v>
      </c>
    </row>
    <row r="22" spans="1:8" ht="30" customHeight="1" x14ac:dyDescent="0.35">
      <c r="A22" s="16" t="s">
        <v>2177</v>
      </c>
      <c r="B22" s="17" t="s">
        <v>310</v>
      </c>
      <c r="C22" s="17">
        <v>137</v>
      </c>
      <c r="D22" s="24">
        <v>0.49273347088902847</v>
      </c>
      <c r="E22" s="25">
        <v>120.15214856015071</v>
      </c>
      <c r="F22" s="24">
        <v>0.34306569343065696</v>
      </c>
      <c r="G22" s="24">
        <v>0.24087591240875914</v>
      </c>
      <c r="H22" s="18" t="s">
        <v>2178</v>
      </c>
    </row>
    <row r="23" spans="1:8" ht="30" customHeight="1" x14ac:dyDescent="0.35">
      <c r="A23" s="16" t="s">
        <v>2179</v>
      </c>
      <c r="B23" s="17" t="s">
        <v>2180</v>
      </c>
      <c r="C23" s="17">
        <v>77</v>
      </c>
      <c r="D23" s="24">
        <v>0.59133149411935526</v>
      </c>
      <c r="E23" s="25">
        <v>116.66894148395528</v>
      </c>
      <c r="F23" s="24">
        <v>0.31168831168831168</v>
      </c>
      <c r="G23" s="24">
        <v>0.23376623376623376</v>
      </c>
      <c r="H23" s="18" t="s">
        <v>2178</v>
      </c>
    </row>
    <row r="24" spans="1:8" ht="30" customHeight="1" x14ac:dyDescent="0.35">
      <c r="A24" s="16" t="s">
        <v>2174</v>
      </c>
      <c r="B24" s="17" t="s">
        <v>1023</v>
      </c>
      <c r="C24" s="17">
        <v>16</v>
      </c>
      <c r="D24" s="24">
        <v>0.48219874804381846</v>
      </c>
      <c r="E24" s="25">
        <v>113.71909233176839</v>
      </c>
      <c r="F24" s="24">
        <v>0.5</v>
      </c>
      <c r="G24" s="24">
        <v>0.375</v>
      </c>
      <c r="H24" s="18" t="s">
        <v>2181</v>
      </c>
    </row>
    <row r="25" spans="1:8" ht="30" customHeight="1" x14ac:dyDescent="0.35">
      <c r="A25" s="16" t="s">
        <v>2179</v>
      </c>
      <c r="B25" s="17" t="s">
        <v>2182</v>
      </c>
      <c r="C25" s="17">
        <v>11</v>
      </c>
      <c r="D25" s="24">
        <v>0.398682417083144</v>
      </c>
      <c r="E25" s="25">
        <v>108.41572012721491</v>
      </c>
      <c r="F25" s="24">
        <v>0.36363636363636365</v>
      </c>
      <c r="G25" s="24">
        <v>0.36363636363636365</v>
      </c>
      <c r="H25" s="18" t="s">
        <v>2183</v>
      </c>
    </row>
    <row r="26" spans="1:8" ht="30" customHeight="1" x14ac:dyDescent="0.35">
      <c r="A26" s="16" t="s">
        <v>2179</v>
      </c>
      <c r="B26" s="17" t="s">
        <v>2184</v>
      </c>
      <c r="C26" s="17">
        <v>12</v>
      </c>
      <c r="D26" s="24">
        <v>0.35497359154929575</v>
      </c>
      <c r="E26" s="25">
        <v>108.09022887323944</v>
      </c>
      <c r="F26" s="24">
        <v>0.16666666666666666</v>
      </c>
      <c r="G26" s="24">
        <v>0.16666666666666666</v>
      </c>
      <c r="H26" s="18" t="s">
        <v>2183</v>
      </c>
    </row>
    <row r="27" spans="1:8" ht="30" customHeight="1" x14ac:dyDescent="0.35">
      <c r="A27" s="16" t="s">
        <v>2174</v>
      </c>
      <c r="B27" s="17" t="s">
        <v>27</v>
      </c>
      <c r="C27" s="17">
        <v>37</v>
      </c>
      <c r="D27" s="24">
        <v>0.46244131455399062</v>
      </c>
      <c r="E27" s="25">
        <v>107.98047936743266</v>
      </c>
      <c r="F27" s="24">
        <v>0.27027027027027029</v>
      </c>
      <c r="G27" s="24">
        <v>0.24324324324324326</v>
      </c>
      <c r="H27" s="18" t="s">
        <v>2181</v>
      </c>
    </row>
    <row r="28" spans="1:8" ht="30" customHeight="1" x14ac:dyDescent="0.35">
      <c r="A28" s="16" t="s">
        <v>2177</v>
      </c>
      <c r="B28" s="17" t="s">
        <v>355</v>
      </c>
      <c r="C28" s="17">
        <v>75</v>
      </c>
      <c r="D28" s="24">
        <v>0.3300963676797628</v>
      </c>
      <c r="E28" s="25">
        <v>106.19881393624907</v>
      </c>
      <c r="F28" s="24">
        <v>0.21333333333333335</v>
      </c>
      <c r="G28" s="24">
        <v>0.18666666666666668</v>
      </c>
      <c r="H28" s="18" t="s">
        <v>2185</v>
      </c>
    </row>
    <row r="29" spans="1:8" ht="30" customHeight="1" x14ac:dyDescent="0.35">
      <c r="A29" s="19" t="s">
        <v>2177</v>
      </c>
      <c r="B29" s="20" t="s">
        <v>58</v>
      </c>
      <c r="C29" s="20">
        <v>30</v>
      </c>
      <c r="D29" s="24">
        <v>0.3071830985915493</v>
      </c>
      <c r="E29" s="25">
        <v>104.91774647887323</v>
      </c>
      <c r="F29" s="24">
        <v>0.16666666666666666</v>
      </c>
      <c r="G29" s="24">
        <v>0.13333333333333333</v>
      </c>
      <c r="H29" s="21" t="s">
        <v>2181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workbookViewId="0">
      <selection activeCell="B22" sqref="B22"/>
    </sheetView>
  </sheetViews>
  <sheetFormatPr defaultRowHeight="14.5" x14ac:dyDescent="0.35"/>
  <cols>
    <col min="1" max="1" width="34" customWidth="1"/>
    <col min="2" max="2" width="12" customWidth="1"/>
    <col min="3" max="6" width="14" customWidth="1"/>
    <col min="7" max="10" width="16" customWidth="1"/>
    <col min="11" max="13" width="12" customWidth="1"/>
    <col min="14" max="14" width="28" customWidth="1"/>
  </cols>
  <sheetData>
    <row r="1" spans="1:14" ht="51.5" customHeight="1" x14ac:dyDescent="0.5">
      <c r="A1" s="8" t="s">
        <v>2186</v>
      </c>
      <c r="B1" s="8"/>
      <c r="C1" s="8"/>
      <c r="D1" s="8"/>
      <c r="E1" s="8"/>
      <c r="F1" s="8"/>
      <c r="G1" s="8"/>
      <c r="H1" s="8"/>
      <c r="I1" s="8"/>
      <c r="J1" s="8"/>
      <c r="K1" s="8"/>
      <c r="L1" s="8"/>
      <c r="M1" s="8"/>
      <c r="N1" s="8"/>
    </row>
    <row r="2" spans="1:14" ht="54.5" customHeight="1" x14ac:dyDescent="0.35">
      <c r="A2" s="9" t="s">
        <v>2187</v>
      </c>
      <c r="B2" s="9"/>
      <c r="C2" s="9"/>
      <c r="D2" s="9"/>
      <c r="E2" s="9"/>
      <c r="F2" s="9"/>
      <c r="G2" s="9"/>
      <c r="H2" s="9"/>
      <c r="I2" s="9"/>
      <c r="J2" s="9"/>
      <c r="K2" s="9"/>
      <c r="L2" s="9"/>
      <c r="M2" s="9"/>
      <c r="N2" s="9"/>
    </row>
    <row r="4" spans="1:14" ht="32.5" customHeight="1" x14ac:dyDescent="0.35">
      <c r="A4" s="26" t="s">
        <v>2168</v>
      </c>
      <c r="B4" s="27" t="s">
        <v>2140</v>
      </c>
      <c r="C4" s="27" t="s">
        <v>2188</v>
      </c>
      <c r="D4" s="27" t="s">
        <v>2169</v>
      </c>
      <c r="E4" s="27" t="s">
        <v>2189</v>
      </c>
      <c r="F4" s="27" t="s">
        <v>2190</v>
      </c>
      <c r="G4" s="27" t="s">
        <v>2191</v>
      </c>
      <c r="H4" s="27" t="s">
        <v>2192</v>
      </c>
      <c r="I4" s="27" t="s">
        <v>2193</v>
      </c>
      <c r="J4" s="27" t="s">
        <v>2194</v>
      </c>
      <c r="K4" s="27" t="s">
        <v>2171</v>
      </c>
      <c r="L4" s="27" t="s">
        <v>2172</v>
      </c>
      <c r="M4" s="27" t="s">
        <v>2173</v>
      </c>
      <c r="N4" s="28" t="s">
        <v>2195</v>
      </c>
    </row>
    <row r="5" spans="1:14" ht="20" customHeight="1" x14ac:dyDescent="0.35">
      <c r="A5" s="13" t="s">
        <v>20</v>
      </c>
      <c r="B5" s="31">
        <v>217</v>
      </c>
      <c r="C5" s="29">
        <v>0.3686635944700461</v>
      </c>
      <c r="D5" s="31">
        <v>175</v>
      </c>
      <c r="E5" s="29">
        <v>0.36</v>
      </c>
      <c r="F5" s="29">
        <v>0.36081617912603831</v>
      </c>
      <c r="G5" s="31">
        <v>83.937883712531601</v>
      </c>
      <c r="H5" s="31">
        <v>234.92063492063491</v>
      </c>
      <c r="I5" s="31">
        <v>157</v>
      </c>
      <c r="J5" s="31">
        <v>290</v>
      </c>
      <c r="K5" s="29">
        <v>0.25714285714285712</v>
      </c>
      <c r="L5" s="29">
        <v>0.17142857142857143</v>
      </c>
      <c r="M5" s="14" t="s">
        <v>2196</v>
      </c>
      <c r="N5" s="15" t="s">
        <v>2197</v>
      </c>
    </row>
    <row r="6" spans="1:14" ht="20" customHeight="1" x14ac:dyDescent="0.35">
      <c r="A6" s="16" t="s">
        <v>33</v>
      </c>
      <c r="B6" s="25">
        <v>134</v>
      </c>
      <c r="C6" s="24">
        <v>0.20149253731343283</v>
      </c>
      <c r="D6" s="25">
        <v>108</v>
      </c>
      <c r="E6" s="24">
        <v>0.17592592592592593</v>
      </c>
      <c r="F6" s="24">
        <v>0.20593089788732394</v>
      </c>
      <c r="G6" s="25">
        <v>39.170994718309856</v>
      </c>
      <c r="H6" s="25">
        <v>181.36842105263159</v>
      </c>
      <c r="I6" s="25">
        <v>98</v>
      </c>
      <c r="J6" s="25">
        <v>184</v>
      </c>
      <c r="K6" s="24">
        <v>9.2592592592592587E-2</v>
      </c>
      <c r="L6" s="24">
        <v>4.6296296296296294E-2</v>
      </c>
      <c r="M6" s="17" t="s">
        <v>2196</v>
      </c>
      <c r="N6" s="18" t="s">
        <v>2198</v>
      </c>
    </row>
    <row r="7" spans="1:14" ht="20" customHeight="1" x14ac:dyDescent="0.35">
      <c r="A7" s="16" t="s">
        <v>38</v>
      </c>
      <c r="B7" s="25">
        <v>117</v>
      </c>
      <c r="C7" s="24">
        <v>0.5213675213675214</v>
      </c>
      <c r="D7" s="25">
        <v>104</v>
      </c>
      <c r="E7" s="24">
        <v>0.54807692307692313</v>
      </c>
      <c r="F7" s="24">
        <v>0.51902544298046349</v>
      </c>
      <c r="G7" s="25">
        <v>103.60393003180373</v>
      </c>
      <c r="H7" s="25">
        <v>197.87719298245614</v>
      </c>
      <c r="I7" s="25">
        <v>80</v>
      </c>
      <c r="J7" s="25">
        <v>234</v>
      </c>
      <c r="K7" s="24">
        <v>0.25</v>
      </c>
      <c r="L7" s="24">
        <v>0.18269230769230768</v>
      </c>
      <c r="M7" s="17" t="s">
        <v>2196</v>
      </c>
      <c r="N7" s="18" t="s">
        <v>2197</v>
      </c>
    </row>
    <row r="8" spans="1:14" ht="20" customHeight="1" x14ac:dyDescent="0.35">
      <c r="A8" s="16" t="s">
        <v>25</v>
      </c>
      <c r="B8" s="25">
        <v>73</v>
      </c>
      <c r="C8" s="24">
        <v>0.30136986301369861</v>
      </c>
      <c r="D8" s="25">
        <v>63</v>
      </c>
      <c r="E8" s="24">
        <v>0.34920634920634919</v>
      </c>
      <c r="F8" s="24">
        <v>0.35372475818768029</v>
      </c>
      <c r="G8" s="25">
        <v>62.335991854742907</v>
      </c>
      <c r="H8" s="25">
        <v>163.90909090909091</v>
      </c>
      <c r="I8" s="25">
        <v>79.5</v>
      </c>
      <c r="J8" s="25">
        <v>226.25</v>
      </c>
      <c r="K8" s="24">
        <v>0.15873015873015872</v>
      </c>
      <c r="L8" s="24">
        <v>0.1111111111111111</v>
      </c>
      <c r="M8" s="17" t="s">
        <v>2196</v>
      </c>
      <c r="N8" s="18" t="s">
        <v>2199</v>
      </c>
    </row>
    <row r="9" spans="1:14" ht="20" customHeight="1" x14ac:dyDescent="0.35">
      <c r="A9" s="16" t="s">
        <v>14</v>
      </c>
      <c r="B9" s="25">
        <v>46</v>
      </c>
      <c r="C9" s="24">
        <v>0.34782608695652173</v>
      </c>
      <c r="D9" s="25">
        <v>34</v>
      </c>
      <c r="E9" s="24">
        <v>0.35294117647058826</v>
      </c>
      <c r="F9" s="24">
        <v>0.35850286906624934</v>
      </c>
      <c r="G9" s="25">
        <v>80.534950443401144</v>
      </c>
      <c r="H9" s="25">
        <v>231.75</v>
      </c>
      <c r="I9" s="25">
        <v>63</v>
      </c>
      <c r="J9" s="25">
        <v>221.75</v>
      </c>
      <c r="K9" s="24">
        <v>0.14705882352941177</v>
      </c>
      <c r="L9" s="24">
        <v>0.14705882352941177</v>
      </c>
      <c r="M9" s="17" t="s">
        <v>2200</v>
      </c>
      <c r="N9" s="18" t="s">
        <v>2197</v>
      </c>
    </row>
    <row r="10" spans="1:14" ht="20" customHeight="1" x14ac:dyDescent="0.35">
      <c r="A10" s="16" t="s">
        <v>151</v>
      </c>
      <c r="B10" s="25">
        <v>36</v>
      </c>
      <c r="C10" s="24">
        <v>0.25</v>
      </c>
      <c r="D10" s="25">
        <v>31</v>
      </c>
      <c r="E10" s="24">
        <v>0.29032258064516131</v>
      </c>
      <c r="F10" s="24">
        <v>0.32076774371720518</v>
      </c>
      <c r="G10" s="25">
        <v>80.370339685169839</v>
      </c>
      <c r="H10" s="25">
        <v>281.22222222222223</v>
      </c>
      <c r="I10" s="25">
        <v>101</v>
      </c>
      <c r="J10" s="25">
        <v>299</v>
      </c>
      <c r="K10" s="24">
        <v>0.16129032258064516</v>
      </c>
      <c r="L10" s="24">
        <v>0.12903225806451613</v>
      </c>
      <c r="M10" s="17" t="s">
        <v>2200</v>
      </c>
      <c r="N10" s="18" t="s">
        <v>2197</v>
      </c>
    </row>
    <row r="11" spans="1:14" ht="20" customHeight="1" x14ac:dyDescent="0.35">
      <c r="A11" s="16" t="s">
        <v>284</v>
      </c>
      <c r="B11" s="25">
        <v>13</v>
      </c>
      <c r="C11" s="24">
        <v>0.38461538461538464</v>
      </c>
      <c r="D11" s="25">
        <v>13</v>
      </c>
      <c r="E11" s="24">
        <v>0.38461538461538464</v>
      </c>
      <c r="F11" s="24">
        <v>0.37451984635083224</v>
      </c>
      <c r="G11" s="25">
        <v>101.84507042253522</v>
      </c>
      <c r="H11" s="25">
        <v>358.6</v>
      </c>
      <c r="I11" s="25">
        <v>395</v>
      </c>
      <c r="J11" s="25">
        <v>580</v>
      </c>
      <c r="K11" s="24">
        <v>0.30769230769230771</v>
      </c>
      <c r="L11" s="24">
        <v>0.30769230769230771</v>
      </c>
      <c r="M11" s="17" t="s">
        <v>2201</v>
      </c>
      <c r="N11" s="18" t="s">
        <v>2197</v>
      </c>
    </row>
    <row r="12" spans="1:14" ht="20" customHeight="1" x14ac:dyDescent="0.35">
      <c r="A12" s="16" t="s">
        <v>171</v>
      </c>
      <c r="B12" s="25">
        <v>13</v>
      </c>
      <c r="C12" s="24">
        <v>0.23076923076923078</v>
      </c>
      <c r="D12" s="25">
        <v>11</v>
      </c>
      <c r="E12" s="24">
        <v>0.27272727272727271</v>
      </c>
      <c r="F12" s="24">
        <v>0.33416628805088594</v>
      </c>
      <c r="G12" s="25">
        <v>52.415720127214904</v>
      </c>
      <c r="H12" s="25">
        <v>19</v>
      </c>
      <c r="I12" s="25">
        <v>24</v>
      </c>
      <c r="J12" s="25">
        <v>24</v>
      </c>
      <c r="K12" s="24">
        <v>0</v>
      </c>
      <c r="L12" s="24">
        <v>0</v>
      </c>
      <c r="M12" s="17" t="s">
        <v>2201</v>
      </c>
      <c r="N12" s="18" t="s">
        <v>2199</v>
      </c>
    </row>
    <row r="13" spans="1:14" ht="20" customHeight="1" x14ac:dyDescent="0.35">
      <c r="A13" s="16" t="s">
        <v>137</v>
      </c>
      <c r="B13" s="25">
        <v>9</v>
      </c>
      <c r="C13" s="24">
        <v>0.44444444444444442</v>
      </c>
      <c r="D13" s="25">
        <v>7</v>
      </c>
      <c r="E13" s="24">
        <v>0.42857142857142855</v>
      </c>
      <c r="F13" s="24">
        <v>0.38367240479916531</v>
      </c>
      <c r="G13" s="25">
        <v>91.255086071987478</v>
      </c>
      <c r="H13" s="25">
        <v>298.66666666666669</v>
      </c>
      <c r="I13" s="25">
        <v>243</v>
      </c>
      <c r="J13" s="25">
        <v>403.5</v>
      </c>
      <c r="K13" s="24">
        <v>0.2857142857142857</v>
      </c>
      <c r="L13" s="24">
        <v>0.2857142857142857</v>
      </c>
      <c r="M13" s="17" t="s">
        <v>2201</v>
      </c>
      <c r="N13" s="18" t="s">
        <v>2197</v>
      </c>
    </row>
    <row r="14" spans="1:14" ht="20" customHeight="1" x14ac:dyDescent="0.35">
      <c r="A14" s="16" t="s">
        <v>187</v>
      </c>
      <c r="B14" s="25">
        <v>8</v>
      </c>
      <c r="C14" s="24">
        <v>0.625</v>
      </c>
      <c r="D14" s="25">
        <v>7</v>
      </c>
      <c r="E14" s="24">
        <v>0.5714285714285714</v>
      </c>
      <c r="F14" s="24">
        <v>0.42070944183620235</v>
      </c>
      <c r="G14" s="25">
        <v>89.440271257172668</v>
      </c>
      <c r="H14" s="25">
        <v>211.75</v>
      </c>
      <c r="I14" s="25">
        <v>199</v>
      </c>
      <c r="J14" s="25">
        <v>394.5</v>
      </c>
      <c r="K14" s="24">
        <v>0.2857142857142857</v>
      </c>
      <c r="L14" s="24">
        <v>0.2857142857142857</v>
      </c>
      <c r="M14" s="17" t="s">
        <v>2201</v>
      </c>
      <c r="N14" s="18" t="s">
        <v>2197</v>
      </c>
    </row>
    <row r="15" spans="1:14" ht="20" customHeight="1" x14ac:dyDescent="0.35">
      <c r="A15" s="16" t="s">
        <v>977</v>
      </c>
      <c r="B15" s="25">
        <v>6</v>
      </c>
      <c r="C15" s="24">
        <v>1</v>
      </c>
      <c r="D15" s="25">
        <v>6</v>
      </c>
      <c r="E15" s="24">
        <v>1</v>
      </c>
      <c r="F15" s="24">
        <v>0.51381365113759481</v>
      </c>
      <c r="G15" s="25">
        <v>97.495666305525461</v>
      </c>
      <c r="H15" s="25">
        <v>161.16666666666666</v>
      </c>
      <c r="I15" s="25">
        <v>182</v>
      </c>
      <c r="J15" s="25">
        <v>210.25</v>
      </c>
      <c r="K15" s="24">
        <v>0.66666666666666663</v>
      </c>
      <c r="L15" s="24">
        <v>0.5</v>
      </c>
      <c r="M15" s="17" t="s">
        <v>2201</v>
      </c>
      <c r="N15" s="18" t="s">
        <v>2197</v>
      </c>
    </row>
    <row r="16" spans="1:14" ht="20" customHeight="1" x14ac:dyDescent="0.35">
      <c r="A16" s="16" t="s">
        <v>306</v>
      </c>
      <c r="B16" s="25">
        <v>4</v>
      </c>
      <c r="C16" s="24">
        <v>0.75</v>
      </c>
      <c r="D16" s="25">
        <v>4</v>
      </c>
      <c r="E16" s="24">
        <v>0.75</v>
      </c>
      <c r="F16" s="24">
        <v>0.431631455399061</v>
      </c>
      <c r="G16" s="25">
        <v>87.328638497652591</v>
      </c>
      <c r="H16" s="25">
        <v>176</v>
      </c>
      <c r="I16" s="25">
        <v>65</v>
      </c>
      <c r="J16" s="25">
        <v>246</v>
      </c>
      <c r="K16" s="24">
        <v>0.25</v>
      </c>
      <c r="L16" s="24">
        <v>0.25</v>
      </c>
      <c r="M16" s="17" t="s">
        <v>2202</v>
      </c>
      <c r="N16" s="18" t="s">
        <v>2203</v>
      </c>
    </row>
    <row r="17" spans="1:14" ht="20" customHeight="1" x14ac:dyDescent="0.35">
      <c r="A17" s="16" t="s">
        <v>1585</v>
      </c>
      <c r="B17" s="25">
        <v>2</v>
      </c>
      <c r="C17" s="24">
        <v>1</v>
      </c>
      <c r="D17" s="25">
        <v>2</v>
      </c>
      <c r="E17" s="24">
        <v>1</v>
      </c>
      <c r="F17" s="24">
        <v>0.42541613316261201</v>
      </c>
      <c r="G17" s="25">
        <v>114.99487836107555</v>
      </c>
      <c r="H17" s="25">
        <v>481</v>
      </c>
      <c r="I17" s="25">
        <v>481</v>
      </c>
      <c r="J17" s="25">
        <v>581.5</v>
      </c>
      <c r="K17" s="24">
        <v>1</v>
      </c>
      <c r="L17" s="24">
        <v>1</v>
      </c>
      <c r="M17" s="17" t="s">
        <v>2202</v>
      </c>
      <c r="N17" s="18" t="s">
        <v>2203</v>
      </c>
    </row>
    <row r="18" spans="1:14" ht="20" customHeight="1" x14ac:dyDescent="0.35">
      <c r="A18" s="19" t="s">
        <v>130</v>
      </c>
      <c r="B18" s="32">
        <v>1</v>
      </c>
      <c r="C18" s="30">
        <v>0</v>
      </c>
      <c r="D18" s="32">
        <v>0</v>
      </c>
      <c r="E18" s="30"/>
      <c r="F18" s="30">
        <v>0.36795774647887325</v>
      </c>
      <c r="G18" s="32">
        <v>78.394366197183103</v>
      </c>
      <c r="H18" s="32">
        <v>0</v>
      </c>
      <c r="I18" s="32">
        <v>0</v>
      </c>
      <c r="J18" s="32">
        <v>0</v>
      </c>
      <c r="K18" s="30"/>
      <c r="L18" s="30"/>
      <c r="M18" s="20" t="s">
        <v>2202</v>
      </c>
      <c r="N18" s="21" t="s">
        <v>2203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topLeftCell="A3" workbookViewId="0">
      <selection activeCell="C24" sqref="C24"/>
    </sheetView>
  </sheetViews>
  <sheetFormatPr defaultRowHeight="14.5" x14ac:dyDescent="0.35"/>
  <cols>
    <col min="1" max="1" width="34" customWidth="1"/>
    <col min="2" max="2" width="12" customWidth="1"/>
    <col min="3" max="6" width="14" customWidth="1"/>
    <col min="7" max="10" width="16" customWidth="1"/>
    <col min="11" max="13" width="12" customWidth="1"/>
    <col min="14" max="14" width="28" customWidth="1"/>
  </cols>
  <sheetData>
    <row r="1" spans="1:14" ht="48.5" customHeight="1" x14ac:dyDescent="0.5">
      <c r="A1" s="8" t="s">
        <v>2204</v>
      </c>
      <c r="B1" s="8"/>
      <c r="C1" s="8"/>
      <c r="D1" s="8"/>
      <c r="E1" s="8"/>
      <c r="F1" s="8"/>
      <c r="G1" s="8"/>
      <c r="H1" s="8"/>
      <c r="I1" s="8"/>
      <c r="J1" s="8"/>
      <c r="K1" s="8"/>
      <c r="L1" s="8"/>
      <c r="M1" s="8"/>
      <c r="N1" s="8"/>
    </row>
    <row r="2" spans="1:14" ht="29.5" customHeight="1" x14ac:dyDescent="0.35">
      <c r="A2" s="9" t="s">
        <v>2205</v>
      </c>
      <c r="B2" s="9"/>
      <c r="C2" s="9"/>
      <c r="D2" s="9"/>
      <c r="E2" s="9"/>
      <c r="F2" s="9"/>
      <c r="G2" s="9"/>
      <c r="H2" s="9"/>
      <c r="I2" s="9"/>
      <c r="J2" s="9"/>
      <c r="K2" s="9"/>
      <c r="L2" s="9"/>
      <c r="M2" s="9"/>
      <c r="N2" s="9"/>
    </row>
    <row r="4" spans="1:14" ht="32.5" customHeight="1" x14ac:dyDescent="0.35">
      <c r="A4" s="26" t="s">
        <v>2168</v>
      </c>
      <c r="B4" s="27" t="s">
        <v>2140</v>
      </c>
      <c r="C4" s="27" t="s">
        <v>2188</v>
      </c>
      <c r="D4" s="27" t="s">
        <v>2169</v>
      </c>
      <c r="E4" s="27" t="s">
        <v>2189</v>
      </c>
      <c r="F4" s="27" t="s">
        <v>2190</v>
      </c>
      <c r="G4" s="27" t="s">
        <v>2191</v>
      </c>
      <c r="H4" s="27" t="s">
        <v>2192</v>
      </c>
      <c r="I4" s="27" t="s">
        <v>2193</v>
      </c>
      <c r="J4" s="27" t="s">
        <v>2194</v>
      </c>
      <c r="K4" s="27" t="s">
        <v>2171</v>
      </c>
      <c r="L4" s="27" t="s">
        <v>2172</v>
      </c>
      <c r="M4" s="27" t="s">
        <v>2173</v>
      </c>
      <c r="N4" s="28" t="s">
        <v>2195</v>
      </c>
    </row>
    <row r="5" spans="1:14" ht="25" customHeight="1" x14ac:dyDescent="0.35">
      <c r="A5" s="13" t="s">
        <v>21</v>
      </c>
      <c r="B5" s="31">
        <v>365</v>
      </c>
      <c r="C5" s="29">
        <v>0.35342465753424657</v>
      </c>
      <c r="D5" s="31">
        <v>298</v>
      </c>
      <c r="E5" s="29">
        <v>0.35570469798657717</v>
      </c>
      <c r="F5" s="29">
        <v>0.35647532996722475</v>
      </c>
      <c r="G5" s="31">
        <v>84.443041899193901</v>
      </c>
      <c r="H5" s="31">
        <v>238.53773584905662</v>
      </c>
      <c r="I5" s="31">
        <v>163</v>
      </c>
      <c r="J5" s="31">
        <v>297.5</v>
      </c>
      <c r="K5" s="29">
        <v>0.22483221476510068</v>
      </c>
      <c r="L5" s="29">
        <v>0.17114093959731544</v>
      </c>
      <c r="M5" s="14" t="s">
        <v>2196</v>
      </c>
      <c r="N5" s="15" t="s">
        <v>2197</v>
      </c>
    </row>
    <row r="6" spans="1:14" ht="25" customHeight="1" x14ac:dyDescent="0.35">
      <c r="A6" s="16" t="s">
        <v>15</v>
      </c>
      <c r="B6" s="25">
        <v>314</v>
      </c>
      <c r="C6" s="24">
        <v>0.36305732484076431</v>
      </c>
      <c r="D6" s="25">
        <v>267</v>
      </c>
      <c r="E6" s="24">
        <v>0.38202247191011235</v>
      </c>
      <c r="F6" s="24">
        <v>0.38104235167100164</v>
      </c>
      <c r="G6" s="25">
        <v>72.38985130293959</v>
      </c>
      <c r="H6" s="25">
        <v>188.31372549019608</v>
      </c>
      <c r="I6" s="25">
        <v>85.5</v>
      </c>
      <c r="J6" s="25">
        <v>209.25</v>
      </c>
      <c r="K6" s="24">
        <v>0.18352059925093633</v>
      </c>
      <c r="L6" s="24">
        <v>0.12359550561797752</v>
      </c>
      <c r="M6" s="17" t="s">
        <v>2196</v>
      </c>
      <c r="N6" s="18" t="s">
        <v>2199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0"/>
  <sheetViews>
    <sheetView topLeftCell="A11" workbookViewId="0">
      <selection activeCell="L2" sqref="L1:L1048576"/>
    </sheetView>
  </sheetViews>
  <sheetFormatPr defaultRowHeight="14.5" x14ac:dyDescent="0.35"/>
  <cols>
    <col min="1" max="1" width="39.81640625" customWidth="1"/>
    <col min="2" max="2" width="12" customWidth="1"/>
    <col min="3" max="6" width="14" customWidth="1"/>
    <col min="7" max="10" width="16" customWidth="1"/>
    <col min="11" max="13" width="12" customWidth="1"/>
    <col min="14" max="14" width="28" customWidth="1"/>
  </cols>
  <sheetData>
    <row r="1" spans="1:14" ht="41" customHeight="1" x14ac:dyDescent="0.5">
      <c r="A1" s="8" t="s">
        <v>2206</v>
      </c>
      <c r="B1" s="8"/>
      <c r="C1" s="8"/>
      <c r="D1" s="8"/>
      <c r="E1" s="8"/>
      <c r="F1" s="8"/>
      <c r="G1" s="8"/>
      <c r="H1" s="8"/>
      <c r="I1" s="8"/>
      <c r="J1" s="8"/>
      <c r="K1" s="8"/>
      <c r="L1" s="8"/>
      <c r="M1" s="8"/>
      <c r="N1" s="8"/>
    </row>
    <row r="2" spans="1:14" ht="67.5" customHeight="1" x14ac:dyDescent="0.35">
      <c r="A2" s="9" t="s">
        <v>2207</v>
      </c>
      <c r="B2" s="9"/>
      <c r="C2" s="9"/>
      <c r="D2" s="9"/>
      <c r="E2" s="9"/>
      <c r="F2" s="9"/>
      <c r="G2" s="9"/>
      <c r="H2" s="9"/>
      <c r="I2" s="9"/>
      <c r="J2" s="9"/>
      <c r="K2" s="9"/>
      <c r="L2" s="9"/>
      <c r="M2" s="9"/>
      <c r="N2" s="9"/>
    </row>
    <row r="4" spans="1:14" ht="30.5" customHeight="1" x14ac:dyDescent="0.35">
      <c r="A4" s="26" t="s">
        <v>2168</v>
      </c>
      <c r="B4" s="27" t="s">
        <v>2140</v>
      </c>
      <c r="C4" s="27" t="s">
        <v>2188</v>
      </c>
      <c r="D4" s="27" t="s">
        <v>2169</v>
      </c>
      <c r="E4" s="27" t="s">
        <v>2189</v>
      </c>
      <c r="F4" s="27" t="s">
        <v>2190</v>
      </c>
      <c r="G4" s="27" t="s">
        <v>2191</v>
      </c>
      <c r="H4" s="27" t="s">
        <v>2192</v>
      </c>
      <c r="I4" s="27" t="s">
        <v>2193</v>
      </c>
      <c r="J4" s="27" t="s">
        <v>2194</v>
      </c>
      <c r="K4" s="27" t="s">
        <v>2171</v>
      </c>
      <c r="L4" s="27" t="s">
        <v>2172</v>
      </c>
      <c r="M4" s="27" t="s">
        <v>2173</v>
      </c>
      <c r="N4" s="28" t="s">
        <v>2195</v>
      </c>
    </row>
    <row r="5" spans="1:14" ht="25" customHeight="1" x14ac:dyDescent="0.35">
      <c r="A5" s="13" t="s">
        <v>2208</v>
      </c>
      <c r="B5" s="31">
        <v>150</v>
      </c>
      <c r="C5" s="29">
        <v>0.40666666666666668</v>
      </c>
      <c r="D5" s="31">
        <v>120</v>
      </c>
      <c r="E5" s="29">
        <v>0.40833333333333333</v>
      </c>
      <c r="F5" s="29">
        <v>0.40256539235412475</v>
      </c>
      <c r="G5" s="31">
        <v>101.98490945674044</v>
      </c>
      <c r="H5" s="31">
        <v>259.38775510204084</v>
      </c>
      <c r="I5" s="31">
        <v>184</v>
      </c>
      <c r="J5" s="31">
        <v>410</v>
      </c>
      <c r="K5" s="29">
        <v>0.3</v>
      </c>
      <c r="L5" s="29">
        <v>0.21666666666666667</v>
      </c>
      <c r="M5" s="14" t="s">
        <v>2196</v>
      </c>
      <c r="N5" s="15" t="s">
        <v>2197</v>
      </c>
    </row>
    <row r="6" spans="1:14" ht="25" customHeight="1" x14ac:dyDescent="0.35">
      <c r="A6" s="16" t="s">
        <v>2180</v>
      </c>
      <c r="B6" s="25">
        <v>85</v>
      </c>
      <c r="C6" s="24">
        <v>0.62352941176470589</v>
      </c>
      <c r="D6" s="25">
        <v>77</v>
      </c>
      <c r="E6" s="24">
        <v>0.64935064935064934</v>
      </c>
      <c r="F6" s="24">
        <v>0.59133149411935526</v>
      </c>
      <c r="G6" s="25">
        <v>116.66894148395528</v>
      </c>
      <c r="H6" s="25">
        <v>194.98</v>
      </c>
      <c r="I6" s="25">
        <v>84</v>
      </c>
      <c r="J6" s="25">
        <v>248.25</v>
      </c>
      <c r="K6" s="24">
        <v>0.31168831168831168</v>
      </c>
      <c r="L6" s="24">
        <v>0.23376623376623376</v>
      </c>
      <c r="M6" s="17" t="s">
        <v>2196</v>
      </c>
      <c r="N6" s="18" t="s">
        <v>2209</v>
      </c>
    </row>
    <row r="7" spans="1:14" ht="25" customHeight="1" x14ac:dyDescent="0.35">
      <c r="A7" s="16" t="s">
        <v>2210</v>
      </c>
      <c r="B7" s="25">
        <v>73</v>
      </c>
      <c r="C7" s="24">
        <v>0.20547945205479451</v>
      </c>
      <c r="D7" s="25">
        <v>59</v>
      </c>
      <c r="E7" s="24">
        <v>0.20338983050847459</v>
      </c>
      <c r="F7" s="24">
        <v>0.24505259404528434</v>
      </c>
      <c r="G7" s="25">
        <v>41.947940809413446</v>
      </c>
      <c r="H7" s="25">
        <v>145.5</v>
      </c>
      <c r="I7" s="25">
        <v>46</v>
      </c>
      <c r="J7" s="25">
        <v>166.25</v>
      </c>
      <c r="K7" s="24">
        <v>8.4745762711864403E-2</v>
      </c>
      <c r="L7" s="24">
        <v>5.0847457627118647E-2</v>
      </c>
      <c r="M7" s="17" t="s">
        <v>2196</v>
      </c>
      <c r="N7" s="18" t="s">
        <v>2198</v>
      </c>
    </row>
    <row r="8" spans="1:14" ht="25" customHeight="1" x14ac:dyDescent="0.35">
      <c r="A8" s="16" t="s">
        <v>2211</v>
      </c>
      <c r="B8" s="25">
        <v>67</v>
      </c>
      <c r="C8" s="24">
        <v>0.28358208955223879</v>
      </c>
      <c r="D8" s="25">
        <v>55</v>
      </c>
      <c r="E8" s="24">
        <v>0.25454545454545452</v>
      </c>
      <c r="F8" s="24">
        <v>0.2847887323943662</v>
      </c>
      <c r="G8" s="25">
        <v>48.771830985915493</v>
      </c>
      <c r="H8" s="25">
        <v>149.28571428571428</v>
      </c>
      <c r="I8" s="25">
        <v>137.5</v>
      </c>
      <c r="J8" s="25">
        <v>181</v>
      </c>
      <c r="K8" s="24">
        <v>0.16363636363636364</v>
      </c>
      <c r="L8" s="24">
        <v>7.2727272727272724E-2</v>
      </c>
      <c r="M8" s="17" t="s">
        <v>2196</v>
      </c>
      <c r="N8" s="18" t="s">
        <v>2198</v>
      </c>
    </row>
    <row r="9" spans="1:14" ht="25" customHeight="1" x14ac:dyDescent="0.35">
      <c r="A9" s="16" t="s">
        <v>2212</v>
      </c>
      <c r="B9" s="25">
        <v>61</v>
      </c>
      <c r="C9" s="24">
        <v>0.19672131147540983</v>
      </c>
      <c r="D9" s="25">
        <v>49</v>
      </c>
      <c r="E9" s="24">
        <v>0.14285714285714285</v>
      </c>
      <c r="F9" s="24">
        <v>0.20810369463155745</v>
      </c>
      <c r="G9" s="25">
        <v>47.360685854255969</v>
      </c>
      <c r="H9" s="25">
        <v>242.85714285714286</v>
      </c>
      <c r="I9" s="25">
        <v>120</v>
      </c>
      <c r="J9" s="25">
        <v>184</v>
      </c>
      <c r="K9" s="24">
        <v>0.10204081632653061</v>
      </c>
      <c r="L9" s="24">
        <v>4.0816326530612242E-2</v>
      </c>
      <c r="M9" s="17" t="s">
        <v>2200</v>
      </c>
      <c r="N9" s="18" t="s">
        <v>2198</v>
      </c>
    </row>
    <row r="10" spans="1:14" ht="25" customHeight="1" x14ac:dyDescent="0.35">
      <c r="A10" s="16" t="s">
        <v>2213</v>
      </c>
      <c r="B10" s="25">
        <v>36</v>
      </c>
      <c r="C10" s="24">
        <v>0.3888888888888889</v>
      </c>
      <c r="D10" s="25">
        <v>32</v>
      </c>
      <c r="E10" s="24">
        <v>0.4375</v>
      </c>
      <c r="F10" s="24">
        <v>0.41075297941495126</v>
      </c>
      <c r="G10" s="25">
        <v>74.997833152762738</v>
      </c>
      <c r="H10" s="25">
        <v>166.57142857142858</v>
      </c>
      <c r="I10" s="25">
        <v>79.5</v>
      </c>
      <c r="J10" s="25">
        <v>226.25</v>
      </c>
      <c r="K10" s="24">
        <v>0.1875</v>
      </c>
      <c r="L10" s="24">
        <v>0.15625</v>
      </c>
      <c r="M10" s="17" t="s">
        <v>2200</v>
      </c>
      <c r="N10" s="18" t="s">
        <v>2199</v>
      </c>
    </row>
    <row r="11" spans="1:14" ht="25" customHeight="1" x14ac:dyDescent="0.35">
      <c r="A11" s="16" t="s">
        <v>2214</v>
      </c>
      <c r="B11" s="25">
        <v>37</v>
      </c>
      <c r="C11" s="24">
        <v>0.21621621621621623</v>
      </c>
      <c r="D11" s="25">
        <v>31</v>
      </c>
      <c r="E11" s="24">
        <v>0.25806451612903225</v>
      </c>
      <c r="F11" s="24">
        <v>0.30115990057995029</v>
      </c>
      <c r="G11" s="25">
        <v>55.723280861640433</v>
      </c>
      <c r="H11" s="25">
        <v>159.25</v>
      </c>
      <c r="I11" s="25">
        <v>116</v>
      </c>
      <c r="J11" s="25">
        <v>218.5</v>
      </c>
      <c r="K11" s="24">
        <v>0.12903225806451613</v>
      </c>
      <c r="L11" s="24">
        <v>6.4516129032258063E-2</v>
      </c>
      <c r="M11" s="17" t="s">
        <v>2200</v>
      </c>
      <c r="N11" s="18" t="s">
        <v>2199</v>
      </c>
    </row>
    <row r="12" spans="1:14" ht="25" customHeight="1" x14ac:dyDescent="0.35">
      <c r="A12" s="16" t="s">
        <v>2215</v>
      </c>
      <c r="B12" s="25">
        <v>32</v>
      </c>
      <c r="C12" s="24">
        <v>0.25</v>
      </c>
      <c r="D12" s="25">
        <v>27</v>
      </c>
      <c r="E12" s="24">
        <v>0.25925925925925924</v>
      </c>
      <c r="F12" s="24">
        <v>0.30551393467186094</v>
      </c>
      <c r="G12" s="25">
        <v>65.91249625412047</v>
      </c>
      <c r="H12" s="25">
        <v>218.57142857142858</v>
      </c>
      <c r="I12" s="25">
        <v>59</v>
      </c>
      <c r="J12" s="25">
        <v>92</v>
      </c>
      <c r="K12" s="24">
        <v>7.407407407407407E-2</v>
      </c>
      <c r="L12" s="24">
        <v>3.7037037037037035E-2</v>
      </c>
      <c r="M12" s="17" t="s">
        <v>2200</v>
      </c>
      <c r="N12" s="18" t="s">
        <v>2199</v>
      </c>
    </row>
    <row r="13" spans="1:14" ht="25" customHeight="1" x14ac:dyDescent="0.35">
      <c r="A13" s="16" t="s">
        <v>2216</v>
      </c>
      <c r="B13" s="25">
        <v>28</v>
      </c>
      <c r="C13" s="24">
        <v>0.39285714285714285</v>
      </c>
      <c r="D13" s="25">
        <v>22</v>
      </c>
      <c r="E13" s="24">
        <v>0.36363636363636365</v>
      </c>
      <c r="F13" s="24">
        <v>0.36569416498993962</v>
      </c>
      <c r="G13" s="25">
        <v>58.521126760563384</v>
      </c>
      <c r="H13" s="25">
        <v>111.25</v>
      </c>
      <c r="I13" s="25">
        <v>63</v>
      </c>
      <c r="J13" s="25">
        <v>199.75</v>
      </c>
      <c r="K13" s="24">
        <v>0.13636363636363635</v>
      </c>
      <c r="L13" s="24">
        <v>0.13636363636363635</v>
      </c>
      <c r="M13" s="17" t="s">
        <v>2200</v>
      </c>
      <c r="N13" s="18" t="s">
        <v>2199</v>
      </c>
    </row>
    <row r="14" spans="1:14" ht="25" customHeight="1" x14ac:dyDescent="0.35">
      <c r="A14" s="16" t="s">
        <v>2217</v>
      </c>
      <c r="B14" s="25">
        <v>19</v>
      </c>
      <c r="C14" s="24">
        <v>0.36842105263157893</v>
      </c>
      <c r="D14" s="25">
        <v>19</v>
      </c>
      <c r="E14" s="24">
        <v>0.36842105263157893</v>
      </c>
      <c r="F14" s="24">
        <v>0.36818345973275551</v>
      </c>
      <c r="G14" s="25">
        <v>81.843264716504152</v>
      </c>
      <c r="H14" s="25">
        <v>232</v>
      </c>
      <c r="I14" s="25">
        <v>73</v>
      </c>
      <c r="J14" s="25">
        <v>148.5</v>
      </c>
      <c r="K14" s="24">
        <v>0.15789473684210525</v>
      </c>
      <c r="L14" s="24">
        <v>0.10526315789473684</v>
      </c>
      <c r="M14" s="17" t="s">
        <v>2200</v>
      </c>
      <c r="N14" s="18" t="s">
        <v>2197</v>
      </c>
    </row>
    <row r="15" spans="1:14" ht="25" customHeight="1" x14ac:dyDescent="0.35">
      <c r="A15" s="16" t="s">
        <v>2184</v>
      </c>
      <c r="B15" s="25">
        <v>18</v>
      </c>
      <c r="C15" s="24">
        <v>0.27777777777777779</v>
      </c>
      <c r="D15" s="25">
        <v>12</v>
      </c>
      <c r="E15" s="24">
        <v>0.33333333333333331</v>
      </c>
      <c r="F15" s="24">
        <v>0.35497359154929575</v>
      </c>
      <c r="G15" s="25">
        <v>108.09022887323944</v>
      </c>
      <c r="H15" s="25">
        <v>472.75</v>
      </c>
      <c r="I15" s="25">
        <v>401</v>
      </c>
      <c r="J15" s="25">
        <v>857.5</v>
      </c>
      <c r="K15" s="24">
        <v>0.16666666666666666</v>
      </c>
      <c r="L15" s="24">
        <v>0.16666666666666666</v>
      </c>
      <c r="M15" s="17" t="s">
        <v>2201</v>
      </c>
      <c r="N15" s="18" t="s">
        <v>2197</v>
      </c>
    </row>
    <row r="16" spans="1:14" ht="25" customHeight="1" x14ac:dyDescent="0.35">
      <c r="A16" s="16" t="s">
        <v>2218</v>
      </c>
      <c r="B16" s="25">
        <v>17</v>
      </c>
      <c r="C16" s="24">
        <v>0.11764705882352941</v>
      </c>
      <c r="D16" s="25">
        <v>12</v>
      </c>
      <c r="E16" s="24">
        <v>0.16666666666666666</v>
      </c>
      <c r="F16" s="24">
        <v>0.29247359154929575</v>
      </c>
      <c r="G16" s="25">
        <v>77.34022887323944</v>
      </c>
      <c r="H16" s="25">
        <v>453.5</v>
      </c>
      <c r="I16" s="25">
        <v>453.5</v>
      </c>
      <c r="J16" s="25">
        <v>530.75</v>
      </c>
      <c r="K16" s="24">
        <v>0.16666666666666666</v>
      </c>
      <c r="L16" s="24">
        <v>0.16666666666666666</v>
      </c>
      <c r="M16" s="17" t="s">
        <v>2201</v>
      </c>
      <c r="N16" s="18" t="s">
        <v>2199</v>
      </c>
    </row>
    <row r="17" spans="1:14" ht="25" customHeight="1" x14ac:dyDescent="0.35">
      <c r="A17" s="16" t="s">
        <v>2182</v>
      </c>
      <c r="B17" s="25">
        <v>11</v>
      </c>
      <c r="C17" s="24">
        <v>0.45454545454545453</v>
      </c>
      <c r="D17" s="25">
        <v>11</v>
      </c>
      <c r="E17" s="24">
        <v>0.45454545454545453</v>
      </c>
      <c r="F17" s="24">
        <v>0.398682417083144</v>
      </c>
      <c r="G17" s="25">
        <v>108.41572012721491</v>
      </c>
      <c r="H17" s="25">
        <v>358.6</v>
      </c>
      <c r="I17" s="25">
        <v>395</v>
      </c>
      <c r="J17" s="25">
        <v>580</v>
      </c>
      <c r="K17" s="24">
        <v>0.36363636363636365</v>
      </c>
      <c r="L17" s="24">
        <v>0.36363636363636365</v>
      </c>
      <c r="M17" s="17" t="s">
        <v>2201</v>
      </c>
      <c r="N17" s="18" t="s">
        <v>2197</v>
      </c>
    </row>
    <row r="18" spans="1:14" ht="25" customHeight="1" x14ac:dyDescent="0.35">
      <c r="A18" s="16" t="s">
        <v>2219</v>
      </c>
      <c r="B18" s="25">
        <v>8</v>
      </c>
      <c r="C18" s="24">
        <v>0.375</v>
      </c>
      <c r="D18" s="25">
        <v>6</v>
      </c>
      <c r="E18" s="24">
        <v>0.33333333333333331</v>
      </c>
      <c r="F18" s="24">
        <v>0.35996749729144095</v>
      </c>
      <c r="G18" s="25">
        <v>91.341820151679315</v>
      </c>
      <c r="H18" s="25">
        <v>403.5</v>
      </c>
      <c r="I18" s="25">
        <v>403.5</v>
      </c>
      <c r="J18" s="25">
        <v>483.75</v>
      </c>
      <c r="K18" s="24">
        <v>0.33333333333333331</v>
      </c>
      <c r="L18" s="24">
        <v>0.33333333333333331</v>
      </c>
      <c r="M18" s="17" t="s">
        <v>2201</v>
      </c>
      <c r="N18" s="18" t="s">
        <v>2197</v>
      </c>
    </row>
    <row r="19" spans="1:14" ht="25" customHeight="1" x14ac:dyDescent="0.35">
      <c r="A19" s="16" t="s">
        <v>2220</v>
      </c>
      <c r="B19" s="25">
        <v>8</v>
      </c>
      <c r="C19" s="24">
        <v>0.125</v>
      </c>
      <c r="D19" s="25">
        <v>6</v>
      </c>
      <c r="E19" s="24">
        <v>0.16666666666666666</v>
      </c>
      <c r="F19" s="24">
        <v>0.32150595882990246</v>
      </c>
      <c r="G19" s="25">
        <v>61.226435536294694</v>
      </c>
      <c r="H19" s="25">
        <v>24</v>
      </c>
      <c r="I19" s="25">
        <v>24</v>
      </c>
      <c r="J19" s="25">
        <v>24</v>
      </c>
      <c r="K19" s="24">
        <v>0</v>
      </c>
      <c r="L19" s="24">
        <v>0</v>
      </c>
      <c r="M19" s="17" t="s">
        <v>2201</v>
      </c>
      <c r="N19" s="18" t="s">
        <v>2199</v>
      </c>
    </row>
    <row r="20" spans="1:14" ht="25" customHeight="1" x14ac:dyDescent="0.35">
      <c r="A20" s="16" t="s">
        <v>2221</v>
      </c>
      <c r="B20" s="25">
        <v>5</v>
      </c>
      <c r="C20" s="24">
        <v>0.4</v>
      </c>
      <c r="D20" s="25">
        <v>5</v>
      </c>
      <c r="E20" s="24">
        <v>0.4</v>
      </c>
      <c r="F20" s="24">
        <v>0.37436619718309855</v>
      </c>
      <c r="G20" s="25">
        <v>64.035492957746484</v>
      </c>
      <c r="H20" s="25">
        <v>16.5</v>
      </c>
      <c r="I20" s="25">
        <v>16.5</v>
      </c>
      <c r="J20" s="25">
        <v>20.25</v>
      </c>
      <c r="K20" s="24">
        <v>0</v>
      </c>
      <c r="L20" s="24">
        <v>0</v>
      </c>
      <c r="M20" s="17" t="s">
        <v>2201</v>
      </c>
      <c r="N20" s="18" t="s">
        <v>2199</v>
      </c>
    </row>
    <row r="21" spans="1:14" ht="25" customHeight="1" x14ac:dyDescent="0.35">
      <c r="A21" s="16" t="s">
        <v>2222</v>
      </c>
      <c r="B21" s="25">
        <v>4</v>
      </c>
      <c r="C21" s="24">
        <v>1</v>
      </c>
      <c r="D21" s="25">
        <v>4</v>
      </c>
      <c r="E21" s="24">
        <v>1</v>
      </c>
      <c r="F21" s="24">
        <v>0.47329812206572769</v>
      </c>
      <c r="G21" s="25">
        <v>94.328638497652591</v>
      </c>
      <c r="H21" s="25">
        <v>174</v>
      </c>
      <c r="I21" s="25">
        <v>193.5</v>
      </c>
      <c r="J21" s="25">
        <v>221.25</v>
      </c>
      <c r="K21" s="24">
        <v>0.75</v>
      </c>
      <c r="L21" s="24">
        <v>0.5</v>
      </c>
      <c r="M21" s="17" t="s">
        <v>2202</v>
      </c>
      <c r="N21" s="18" t="s">
        <v>2203</v>
      </c>
    </row>
    <row r="22" spans="1:14" ht="25" customHeight="1" x14ac:dyDescent="0.35">
      <c r="A22" s="16" t="s">
        <v>2223</v>
      </c>
      <c r="B22" s="25">
        <v>5</v>
      </c>
      <c r="C22" s="24">
        <v>0.8</v>
      </c>
      <c r="D22" s="25">
        <v>4</v>
      </c>
      <c r="E22" s="24">
        <v>0.75</v>
      </c>
      <c r="F22" s="24">
        <v>0.431631455399061</v>
      </c>
      <c r="G22" s="25">
        <v>100.03697183098592</v>
      </c>
      <c r="H22" s="25">
        <v>277.66666666666669</v>
      </c>
      <c r="I22" s="25">
        <v>381</v>
      </c>
      <c r="J22" s="25">
        <v>408</v>
      </c>
      <c r="K22" s="24">
        <v>0.5</v>
      </c>
      <c r="L22" s="24">
        <v>0.5</v>
      </c>
      <c r="M22" s="17" t="s">
        <v>2202</v>
      </c>
      <c r="N22" s="18" t="s">
        <v>2203</v>
      </c>
    </row>
    <row r="23" spans="1:14" ht="25" customHeight="1" x14ac:dyDescent="0.35">
      <c r="A23" s="16" t="s">
        <v>2224</v>
      </c>
      <c r="B23" s="25">
        <v>3</v>
      </c>
      <c r="C23" s="24">
        <v>0.66666666666666663</v>
      </c>
      <c r="D23" s="25">
        <v>3</v>
      </c>
      <c r="E23" s="24">
        <v>0.66666666666666663</v>
      </c>
      <c r="F23" s="24">
        <v>0.40691977954684627</v>
      </c>
      <c r="G23" s="25">
        <v>72.560318432333133</v>
      </c>
      <c r="H23" s="25">
        <v>50.5</v>
      </c>
      <c r="I23" s="25">
        <v>50.5</v>
      </c>
      <c r="J23" s="25">
        <v>57.75</v>
      </c>
      <c r="K23" s="24">
        <v>0</v>
      </c>
      <c r="L23" s="24">
        <v>0</v>
      </c>
      <c r="M23" s="17" t="s">
        <v>2202</v>
      </c>
      <c r="N23" s="18" t="s">
        <v>2203</v>
      </c>
    </row>
    <row r="24" spans="1:14" ht="25" customHeight="1" x14ac:dyDescent="0.35">
      <c r="A24" s="16" t="s">
        <v>2225</v>
      </c>
      <c r="B24" s="25">
        <v>3</v>
      </c>
      <c r="C24" s="24">
        <v>0.33333333333333331</v>
      </c>
      <c r="D24" s="25">
        <v>3</v>
      </c>
      <c r="E24" s="24">
        <v>0.33333333333333331</v>
      </c>
      <c r="F24" s="24">
        <v>0.36344151867728103</v>
      </c>
      <c r="G24" s="25">
        <v>68.777709736680961</v>
      </c>
      <c r="H24" s="25">
        <v>14</v>
      </c>
      <c r="I24" s="25">
        <v>14</v>
      </c>
      <c r="J24" s="25">
        <v>14</v>
      </c>
      <c r="K24" s="24">
        <v>0</v>
      </c>
      <c r="L24" s="24">
        <v>0</v>
      </c>
      <c r="M24" s="17" t="s">
        <v>2202</v>
      </c>
      <c r="N24" s="18" t="s">
        <v>2203</v>
      </c>
    </row>
    <row r="25" spans="1:14" ht="25" customHeight="1" x14ac:dyDescent="0.35">
      <c r="A25" s="16" t="s">
        <v>2226</v>
      </c>
      <c r="B25" s="25">
        <v>2</v>
      </c>
      <c r="C25" s="24">
        <v>1</v>
      </c>
      <c r="D25" s="25">
        <v>2</v>
      </c>
      <c r="E25" s="24">
        <v>1</v>
      </c>
      <c r="F25" s="24">
        <v>0.42541613316261201</v>
      </c>
      <c r="G25" s="25">
        <v>83.585787451984643</v>
      </c>
      <c r="H25" s="25">
        <v>135.5</v>
      </c>
      <c r="I25" s="25">
        <v>135.5</v>
      </c>
      <c r="J25" s="25">
        <v>164.25</v>
      </c>
      <c r="K25" s="24">
        <v>0.5</v>
      </c>
      <c r="L25" s="24">
        <v>0.5</v>
      </c>
      <c r="M25" s="17" t="s">
        <v>2202</v>
      </c>
      <c r="N25" s="18" t="s">
        <v>2203</v>
      </c>
    </row>
    <row r="26" spans="1:14" ht="25" customHeight="1" x14ac:dyDescent="0.35">
      <c r="A26" s="16" t="s">
        <v>2227</v>
      </c>
      <c r="B26" s="25">
        <v>2</v>
      </c>
      <c r="C26" s="24">
        <v>0</v>
      </c>
      <c r="D26" s="25">
        <v>2</v>
      </c>
      <c r="E26" s="24">
        <v>0</v>
      </c>
      <c r="F26" s="24">
        <v>0.33450704225352113</v>
      </c>
      <c r="G26" s="25">
        <v>71.267605633802816</v>
      </c>
      <c r="H26" s="25">
        <v>0</v>
      </c>
      <c r="I26" s="25">
        <v>0</v>
      </c>
      <c r="J26" s="25">
        <v>0</v>
      </c>
      <c r="K26" s="24">
        <v>0</v>
      </c>
      <c r="L26" s="24">
        <v>0</v>
      </c>
      <c r="M26" s="17" t="s">
        <v>2202</v>
      </c>
      <c r="N26" s="18" t="s">
        <v>2203</v>
      </c>
    </row>
    <row r="27" spans="1:14" ht="25" customHeight="1" x14ac:dyDescent="0.35">
      <c r="A27" s="16" t="s">
        <v>2228</v>
      </c>
      <c r="B27" s="25">
        <v>2</v>
      </c>
      <c r="C27" s="24">
        <v>1</v>
      </c>
      <c r="D27" s="25">
        <v>2</v>
      </c>
      <c r="E27" s="24">
        <v>1</v>
      </c>
      <c r="F27" s="24">
        <v>0.42541613316261201</v>
      </c>
      <c r="G27" s="25">
        <v>114.99487836107555</v>
      </c>
      <c r="H27" s="25">
        <v>481</v>
      </c>
      <c r="I27" s="25">
        <v>481</v>
      </c>
      <c r="J27" s="25">
        <v>581.5</v>
      </c>
      <c r="K27" s="24">
        <v>1</v>
      </c>
      <c r="L27" s="24">
        <v>1</v>
      </c>
      <c r="M27" s="17" t="s">
        <v>2202</v>
      </c>
      <c r="N27" s="18" t="s">
        <v>2203</v>
      </c>
    </row>
    <row r="28" spans="1:14" ht="25" customHeight="1" x14ac:dyDescent="0.35">
      <c r="A28" s="16" t="s">
        <v>2229</v>
      </c>
      <c r="B28" s="25">
        <v>1</v>
      </c>
      <c r="C28" s="24">
        <v>1</v>
      </c>
      <c r="D28" s="25">
        <v>1</v>
      </c>
      <c r="E28" s="24">
        <v>1</v>
      </c>
      <c r="F28" s="24">
        <v>0.39805499664654592</v>
      </c>
      <c r="G28" s="25">
        <v>78.899396378269628</v>
      </c>
      <c r="H28" s="25">
        <v>89</v>
      </c>
      <c r="I28" s="25">
        <v>89</v>
      </c>
      <c r="J28" s="25">
        <v>89</v>
      </c>
      <c r="K28" s="24">
        <v>0</v>
      </c>
      <c r="L28" s="24">
        <v>0</v>
      </c>
      <c r="M28" s="17" t="s">
        <v>2202</v>
      </c>
      <c r="N28" s="18" t="s">
        <v>2203</v>
      </c>
    </row>
    <row r="29" spans="1:14" ht="25" customHeight="1" x14ac:dyDescent="0.35">
      <c r="A29" s="16" t="s">
        <v>2230</v>
      </c>
      <c r="B29" s="25">
        <v>1</v>
      </c>
      <c r="C29" s="24">
        <v>1</v>
      </c>
      <c r="D29" s="25">
        <v>1</v>
      </c>
      <c r="E29" s="24">
        <v>1</v>
      </c>
      <c r="F29" s="24">
        <v>0.39805499664654592</v>
      </c>
      <c r="G29" s="25">
        <v>94.994634473507716</v>
      </c>
      <c r="H29" s="25">
        <v>427</v>
      </c>
      <c r="I29" s="25">
        <v>427</v>
      </c>
      <c r="J29" s="25">
        <v>427</v>
      </c>
      <c r="K29" s="24">
        <v>1</v>
      </c>
      <c r="L29" s="24">
        <v>1</v>
      </c>
      <c r="M29" s="17" t="s">
        <v>2202</v>
      </c>
      <c r="N29" s="18" t="s">
        <v>2203</v>
      </c>
    </row>
    <row r="30" spans="1:14" ht="25" customHeight="1" x14ac:dyDescent="0.35">
      <c r="A30" s="19" t="s">
        <v>2231</v>
      </c>
      <c r="B30" s="32">
        <v>1</v>
      </c>
      <c r="C30" s="30">
        <v>0</v>
      </c>
      <c r="D30" s="32">
        <v>0</v>
      </c>
      <c r="E30" s="30"/>
      <c r="F30" s="30">
        <v>0.36795774647887325</v>
      </c>
      <c r="G30" s="32">
        <v>78.394366197183103</v>
      </c>
      <c r="H30" s="32">
        <v>0</v>
      </c>
      <c r="I30" s="32">
        <v>0</v>
      </c>
      <c r="J30" s="32">
        <v>0</v>
      </c>
      <c r="K30" s="30"/>
      <c r="L30" s="30"/>
      <c r="M30" s="20" t="s">
        <v>2202</v>
      </c>
      <c r="N30" s="21" t="s">
        <v>2203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2"/>
  <sheetViews>
    <sheetView topLeftCell="A2" workbookViewId="0">
      <selection activeCell="G10" sqref="G10"/>
    </sheetView>
  </sheetViews>
  <sheetFormatPr defaultRowHeight="14.5" x14ac:dyDescent="0.35"/>
  <cols>
    <col min="1" max="1" width="37.08984375" customWidth="1"/>
    <col min="2" max="2" width="12" customWidth="1"/>
    <col min="3" max="6" width="14" customWidth="1"/>
    <col min="7" max="10" width="16" customWidth="1"/>
    <col min="11" max="13" width="12" customWidth="1"/>
    <col min="14" max="14" width="28" customWidth="1"/>
  </cols>
  <sheetData>
    <row r="1" spans="1:14" ht="41" customHeight="1" x14ac:dyDescent="0.5">
      <c r="A1" s="8" t="s">
        <v>2232</v>
      </c>
      <c r="B1" s="8"/>
      <c r="C1" s="8"/>
      <c r="D1" s="8"/>
      <c r="E1" s="8"/>
      <c r="F1" s="8"/>
      <c r="G1" s="8"/>
      <c r="H1" s="8"/>
      <c r="I1" s="8"/>
      <c r="J1" s="8"/>
      <c r="K1" s="8"/>
      <c r="L1" s="8"/>
      <c r="M1" s="8"/>
      <c r="N1" s="8"/>
    </row>
    <row r="2" spans="1:14" ht="51" customHeight="1" x14ac:dyDescent="0.35">
      <c r="A2" s="9" t="s">
        <v>2233</v>
      </c>
      <c r="B2" s="9"/>
      <c r="C2" s="9"/>
      <c r="D2" s="9"/>
      <c r="E2" s="9"/>
      <c r="F2" s="9"/>
      <c r="G2" s="9"/>
      <c r="H2" s="9"/>
      <c r="I2" s="9"/>
      <c r="J2" s="9"/>
      <c r="K2" s="9"/>
      <c r="L2" s="9"/>
      <c r="M2" s="9"/>
      <c r="N2" s="9"/>
    </row>
    <row r="4" spans="1:14" ht="34" customHeight="1" x14ac:dyDescent="0.35">
      <c r="A4" s="26" t="s">
        <v>2168</v>
      </c>
      <c r="B4" s="27" t="s">
        <v>2140</v>
      </c>
      <c r="C4" s="27" t="s">
        <v>2188</v>
      </c>
      <c r="D4" s="27" t="s">
        <v>2169</v>
      </c>
      <c r="E4" s="27" t="s">
        <v>2189</v>
      </c>
      <c r="F4" s="27" t="s">
        <v>2190</v>
      </c>
      <c r="G4" s="27" t="s">
        <v>2191</v>
      </c>
      <c r="H4" s="27" t="s">
        <v>2192</v>
      </c>
      <c r="I4" s="27" t="s">
        <v>2193</v>
      </c>
      <c r="J4" s="27" t="s">
        <v>2194</v>
      </c>
      <c r="K4" s="27" t="s">
        <v>2171</v>
      </c>
      <c r="L4" s="27" t="s">
        <v>2172</v>
      </c>
      <c r="M4" s="27" t="s">
        <v>2173</v>
      </c>
      <c r="N4" s="28" t="s">
        <v>2195</v>
      </c>
    </row>
    <row r="5" spans="1:14" ht="25" customHeight="1" x14ac:dyDescent="0.35">
      <c r="A5" s="13" t="s">
        <v>17</v>
      </c>
      <c r="B5" s="31">
        <v>432</v>
      </c>
      <c r="C5" s="29">
        <v>0.35879629629629628</v>
      </c>
      <c r="D5" s="31">
        <v>349</v>
      </c>
      <c r="E5" s="29">
        <v>0.36962750716332377</v>
      </c>
      <c r="F5" s="29">
        <v>0.36953700522920724</v>
      </c>
      <c r="G5" s="31">
        <v>73.216496812855453</v>
      </c>
      <c r="H5" s="31">
        <v>197.27906976744185</v>
      </c>
      <c r="I5" s="31">
        <v>104</v>
      </c>
      <c r="J5" s="31">
        <v>231</v>
      </c>
      <c r="K5" s="29">
        <v>0.20057306590257878</v>
      </c>
      <c r="L5" s="29">
        <v>0.1346704871060172</v>
      </c>
      <c r="M5" s="14" t="s">
        <v>2196</v>
      </c>
      <c r="N5" s="15" t="s">
        <v>2199</v>
      </c>
    </row>
    <row r="6" spans="1:14" ht="25" customHeight="1" x14ac:dyDescent="0.35">
      <c r="A6" s="16" t="s">
        <v>356</v>
      </c>
      <c r="B6" s="25">
        <v>193</v>
      </c>
      <c r="C6" s="24">
        <v>0.43523316062176165</v>
      </c>
      <c r="D6" s="25">
        <v>158</v>
      </c>
      <c r="E6" s="24">
        <v>0.43670886075949367</v>
      </c>
      <c r="F6" s="24">
        <v>0.42898401645830042</v>
      </c>
      <c r="G6" s="25">
        <v>121.35891755024529</v>
      </c>
      <c r="H6" s="25">
        <v>290.3478260869565</v>
      </c>
      <c r="I6" s="25">
        <v>202</v>
      </c>
      <c r="J6" s="25">
        <v>395</v>
      </c>
      <c r="K6" s="24">
        <v>0.30379746835443039</v>
      </c>
      <c r="L6" s="24">
        <v>0.26582278481012656</v>
      </c>
      <c r="M6" s="17" t="s">
        <v>2196</v>
      </c>
      <c r="N6" s="18" t="s">
        <v>2209</v>
      </c>
    </row>
    <row r="7" spans="1:14" ht="25" customHeight="1" x14ac:dyDescent="0.35">
      <c r="A7" s="16" t="s">
        <v>46</v>
      </c>
      <c r="B7" s="25">
        <v>99</v>
      </c>
      <c r="C7" s="24">
        <v>0.50505050505050508</v>
      </c>
      <c r="D7" s="25">
        <v>83</v>
      </c>
      <c r="E7" s="24">
        <v>0.51807228915662651</v>
      </c>
      <c r="F7" s="24">
        <v>0.48892383426774239</v>
      </c>
      <c r="G7" s="25">
        <v>96.629974018870499</v>
      </c>
      <c r="H7" s="25">
        <v>195</v>
      </c>
      <c r="I7" s="25">
        <v>101</v>
      </c>
      <c r="J7" s="25">
        <v>257.5</v>
      </c>
      <c r="K7" s="24">
        <v>0.27710843373493976</v>
      </c>
      <c r="L7" s="24">
        <v>0.21686746987951808</v>
      </c>
      <c r="M7" s="17" t="s">
        <v>2196</v>
      </c>
      <c r="N7" s="18" t="s">
        <v>2197</v>
      </c>
    </row>
    <row r="8" spans="1:14" ht="25" customHeight="1" x14ac:dyDescent="0.35">
      <c r="A8" s="16" t="s">
        <v>1246</v>
      </c>
      <c r="B8" s="25">
        <v>54</v>
      </c>
      <c r="C8" s="24">
        <v>0.40740740740740738</v>
      </c>
      <c r="D8" s="25">
        <v>49</v>
      </c>
      <c r="E8" s="24">
        <v>0.40816326530612246</v>
      </c>
      <c r="F8" s="24">
        <v>0.3965094917330067</v>
      </c>
      <c r="G8" s="25">
        <v>135.65054092671974</v>
      </c>
      <c r="H8" s="25">
        <v>389.6</v>
      </c>
      <c r="I8" s="25">
        <v>221</v>
      </c>
      <c r="J8" s="25">
        <v>753.25</v>
      </c>
      <c r="K8" s="24">
        <v>0.2857142857142857</v>
      </c>
      <c r="L8" s="24">
        <v>0.22448979591836735</v>
      </c>
      <c r="M8" s="17" t="s">
        <v>2200</v>
      </c>
      <c r="N8" s="18" t="s">
        <v>2209</v>
      </c>
    </row>
    <row r="9" spans="1:14" ht="25" customHeight="1" x14ac:dyDescent="0.35">
      <c r="A9" s="16" t="s">
        <v>1028</v>
      </c>
      <c r="B9" s="25">
        <v>50</v>
      </c>
      <c r="C9" s="24">
        <v>0.46</v>
      </c>
      <c r="D9" s="25">
        <v>39</v>
      </c>
      <c r="E9" s="24">
        <v>0.46153846153846156</v>
      </c>
      <c r="F9" s="24">
        <v>0.42981618524707565</v>
      </c>
      <c r="G9" s="25">
        <v>87.896395321079012</v>
      </c>
      <c r="H9" s="25">
        <v>201</v>
      </c>
      <c r="I9" s="25">
        <v>121.5</v>
      </c>
      <c r="J9" s="25">
        <v>189.75</v>
      </c>
      <c r="K9" s="24">
        <v>0.30769230769230771</v>
      </c>
      <c r="L9" s="24">
        <v>0.12820512820512819</v>
      </c>
      <c r="M9" s="17" t="s">
        <v>2200</v>
      </c>
      <c r="N9" s="18" t="s">
        <v>2197</v>
      </c>
    </row>
    <row r="10" spans="1:14" ht="25" customHeight="1" x14ac:dyDescent="0.35">
      <c r="A10" s="16" t="s">
        <v>938</v>
      </c>
      <c r="B10" s="25">
        <v>41</v>
      </c>
      <c r="C10" s="24">
        <v>0.78048780487804881</v>
      </c>
      <c r="D10" s="25">
        <v>38</v>
      </c>
      <c r="E10" s="24">
        <v>0.78947368421052633</v>
      </c>
      <c r="F10" s="24">
        <v>0.64412336085478383</v>
      </c>
      <c r="G10" s="25">
        <v>175.61874696454589</v>
      </c>
      <c r="H10" s="25">
        <v>287.26666666666665</v>
      </c>
      <c r="I10" s="25">
        <v>185.5</v>
      </c>
      <c r="J10" s="25">
        <v>346.25</v>
      </c>
      <c r="K10" s="24">
        <v>0.55263157894736847</v>
      </c>
      <c r="L10" s="24">
        <v>0.39473684210526316</v>
      </c>
      <c r="M10" s="17" t="s">
        <v>2200</v>
      </c>
      <c r="N10" s="18" t="s">
        <v>2209</v>
      </c>
    </row>
    <row r="11" spans="1:14" ht="25" customHeight="1" x14ac:dyDescent="0.35">
      <c r="A11" s="16" t="s">
        <v>27</v>
      </c>
      <c r="B11" s="25">
        <v>45</v>
      </c>
      <c r="C11" s="24">
        <v>0.48888888888888887</v>
      </c>
      <c r="D11" s="25">
        <v>37</v>
      </c>
      <c r="E11" s="24">
        <v>0.51351351351351349</v>
      </c>
      <c r="F11" s="24">
        <v>0.46244131455399062</v>
      </c>
      <c r="G11" s="25">
        <v>107.98047936743266</v>
      </c>
      <c r="H11" s="25">
        <v>241.42105263157896</v>
      </c>
      <c r="I11" s="25">
        <v>153</v>
      </c>
      <c r="J11" s="25">
        <v>361</v>
      </c>
      <c r="K11" s="24">
        <v>0.27027027027027029</v>
      </c>
      <c r="L11" s="24">
        <v>0.24324324324324326</v>
      </c>
      <c r="M11" s="17" t="s">
        <v>2200</v>
      </c>
      <c r="N11" s="18" t="s">
        <v>2197</v>
      </c>
    </row>
    <row r="12" spans="1:14" ht="25" customHeight="1" x14ac:dyDescent="0.35">
      <c r="A12" s="16" t="s">
        <v>1023</v>
      </c>
      <c r="B12" s="25">
        <v>17</v>
      </c>
      <c r="C12" s="24">
        <v>0.6470588235294118</v>
      </c>
      <c r="D12" s="25">
        <v>16</v>
      </c>
      <c r="E12" s="24">
        <v>0.625</v>
      </c>
      <c r="F12" s="24">
        <v>0.48219874804381846</v>
      </c>
      <c r="G12" s="25">
        <v>113.71909233176839</v>
      </c>
      <c r="H12" s="25">
        <v>252.6</v>
      </c>
      <c r="I12" s="25">
        <v>203.5</v>
      </c>
      <c r="J12" s="25">
        <v>338</v>
      </c>
      <c r="K12" s="24">
        <v>0.5</v>
      </c>
      <c r="L12" s="24">
        <v>0.375</v>
      </c>
      <c r="M12" s="17" t="s">
        <v>2200</v>
      </c>
      <c r="N12" s="18" t="s">
        <v>2197</v>
      </c>
    </row>
    <row r="13" spans="1:14" ht="25" customHeight="1" x14ac:dyDescent="0.35">
      <c r="A13" s="16" t="s">
        <v>2151</v>
      </c>
      <c r="B13" s="25">
        <v>14</v>
      </c>
      <c r="C13" s="24">
        <v>0.9285714285714286</v>
      </c>
      <c r="D13" s="25">
        <v>14</v>
      </c>
      <c r="E13" s="24">
        <v>0.9285714285714286</v>
      </c>
      <c r="F13" s="24">
        <v>0.59879867439933721</v>
      </c>
      <c r="G13" s="25">
        <v>162.26139188069592</v>
      </c>
      <c r="H13" s="25">
        <v>303.76923076923077</v>
      </c>
      <c r="I13" s="25">
        <v>262</v>
      </c>
      <c r="J13" s="25">
        <v>379</v>
      </c>
      <c r="K13" s="24">
        <v>0.7142857142857143</v>
      </c>
      <c r="L13" s="24">
        <v>0.5714285714285714</v>
      </c>
      <c r="M13" s="17" t="s">
        <v>2201</v>
      </c>
      <c r="N13" s="18" t="s">
        <v>2209</v>
      </c>
    </row>
    <row r="14" spans="1:14" ht="25" customHeight="1" x14ac:dyDescent="0.35">
      <c r="A14" s="16" t="s">
        <v>421</v>
      </c>
      <c r="B14" s="25">
        <v>14</v>
      </c>
      <c r="C14" s="24">
        <v>0.21428571428571427</v>
      </c>
      <c r="D14" s="25">
        <v>14</v>
      </c>
      <c r="E14" s="24">
        <v>0.21428571428571427</v>
      </c>
      <c r="F14" s="24">
        <v>0.30468102734051367</v>
      </c>
      <c r="G14" s="25">
        <v>66.908450704225359</v>
      </c>
      <c r="H14" s="25">
        <v>235.66666666666666</v>
      </c>
      <c r="I14" s="25">
        <v>262</v>
      </c>
      <c r="J14" s="25">
        <v>336</v>
      </c>
      <c r="K14" s="24">
        <v>0.14285714285714285</v>
      </c>
      <c r="L14" s="24">
        <v>0.14285714285714285</v>
      </c>
      <c r="M14" s="17" t="s">
        <v>2201</v>
      </c>
      <c r="N14" s="18" t="s">
        <v>2199</v>
      </c>
    </row>
    <row r="15" spans="1:14" ht="25" customHeight="1" x14ac:dyDescent="0.35">
      <c r="A15" s="16" t="s">
        <v>2234</v>
      </c>
      <c r="B15" s="25">
        <v>11</v>
      </c>
      <c r="C15" s="24">
        <v>0.36363636363636365</v>
      </c>
      <c r="D15" s="25">
        <v>9</v>
      </c>
      <c r="E15" s="24">
        <v>0.44444444444444442</v>
      </c>
      <c r="F15" s="24">
        <v>0.39169499757163667</v>
      </c>
      <c r="G15" s="25">
        <v>90.271976687712481</v>
      </c>
      <c r="H15" s="25">
        <v>262.5</v>
      </c>
      <c r="I15" s="25">
        <v>132</v>
      </c>
      <c r="J15" s="25">
        <v>337.5</v>
      </c>
      <c r="K15" s="24">
        <v>0.22222222222222221</v>
      </c>
      <c r="L15" s="24">
        <v>0.22222222222222221</v>
      </c>
      <c r="M15" s="17" t="s">
        <v>2201</v>
      </c>
      <c r="N15" s="18" t="s">
        <v>2197</v>
      </c>
    </row>
    <row r="16" spans="1:14" ht="25" customHeight="1" x14ac:dyDescent="0.35">
      <c r="A16" s="16" t="s">
        <v>2235</v>
      </c>
      <c r="B16" s="25">
        <v>11</v>
      </c>
      <c r="C16" s="24">
        <v>0.45454545454545453</v>
      </c>
      <c r="D16" s="25">
        <v>9</v>
      </c>
      <c r="E16" s="24">
        <v>0.44444444444444442</v>
      </c>
      <c r="F16" s="24">
        <v>0.39169499757163667</v>
      </c>
      <c r="G16" s="25">
        <v>81.375424963574559</v>
      </c>
      <c r="H16" s="25">
        <v>198</v>
      </c>
      <c r="I16" s="25">
        <v>196</v>
      </c>
      <c r="J16" s="25">
        <v>199.75</v>
      </c>
      <c r="K16" s="24">
        <v>0.44444444444444442</v>
      </c>
      <c r="L16" s="24">
        <v>0.44444444444444442</v>
      </c>
      <c r="M16" s="17" t="s">
        <v>2201</v>
      </c>
      <c r="N16" s="18" t="s">
        <v>2197</v>
      </c>
    </row>
    <row r="17" spans="1:14" ht="25" customHeight="1" x14ac:dyDescent="0.35">
      <c r="A17" s="16" t="s">
        <v>2236</v>
      </c>
      <c r="B17" s="25">
        <v>5</v>
      </c>
      <c r="C17" s="24">
        <v>0.6</v>
      </c>
      <c r="D17" s="25">
        <v>5</v>
      </c>
      <c r="E17" s="24">
        <v>0.6</v>
      </c>
      <c r="F17" s="24">
        <v>0.41436619718309858</v>
      </c>
      <c r="G17" s="25">
        <v>77.595492957746487</v>
      </c>
      <c r="H17" s="25">
        <v>124</v>
      </c>
      <c r="I17" s="25">
        <v>134</v>
      </c>
      <c r="J17" s="25">
        <v>165</v>
      </c>
      <c r="K17" s="24">
        <v>0.4</v>
      </c>
      <c r="L17" s="24">
        <v>0.2</v>
      </c>
      <c r="M17" s="17" t="s">
        <v>2201</v>
      </c>
      <c r="N17" s="18" t="s">
        <v>2199</v>
      </c>
    </row>
    <row r="18" spans="1:14" ht="25" customHeight="1" x14ac:dyDescent="0.35">
      <c r="A18" s="16" t="s">
        <v>2237</v>
      </c>
      <c r="B18" s="25">
        <v>6</v>
      </c>
      <c r="C18" s="24">
        <v>0.83333333333333337</v>
      </c>
      <c r="D18" s="25">
        <v>5</v>
      </c>
      <c r="E18" s="24">
        <v>1</v>
      </c>
      <c r="F18" s="24">
        <v>0.49436619718309854</v>
      </c>
      <c r="G18" s="25">
        <v>107.79549295774649</v>
      </c>
      <c r="H18" s="25">
        <v>225.4</v>
      </c>
      <c r="I18" s="25">
        <v>170</v>
      </c>
      <c r="J18" s="25">
        <v>379</v>
      </c>
      <c r="K18" s="24">
        <v>0.6</v>
      </c>
      <c r="L18" s="24">
        <v>0.4</v>
      </c>
      <c r="M18" s="17" t="s">
        <v>2201</v>
      </c>
      <c r="N18" s="18" t="s">
        <v>2197</v>
      </c>
    </row>
    <row r="19" spans="1:14" ht="25" customHeight="1" x14ac:dyDescent="0.35">
      <c r="A19" s="16" t="s">
        <v>2238</v>
      </c>
      <c r="B19" s="25">
        <v>4</v>
      </c>
      <c r="C19" s="24">
        <v>0.75</v>
      </c>
      <c r="D19" s="25">
        <v>4</v>
      </c>
      <c r="E19" s="24">
        <v>0.75</v>
      </c>
      <c r="F19" s="24">
        <v>0.431631455399061</v>
      </c>
      <c r="G19" s="25">
        <v>86.495305164319248</v>
      </c>
      <c r="H19" s="25">
        <v>169.33333333333334</v>
      </c>
      <c r="I19" s="25">
        <v>91</v>
      </c>
      <c r="J19" s="25">
        <v>250.5</v>
      </c>
      <c r="K19" s="24">
        <v>0.5</v>
      </c>
      <c r="L19" s="24">
        <v>0.25</v>
      </c>
      <c r="M19" s="17" t="s">
        <v>2202</v>
      </c>
      <c r="N19" s="18" t="s">
        <v>2203</v>
      </c>
    </row>
    <row r="20" spans="1:14" ht="25" customHeight="1" x14ac:dyDescent="0.35">
      <c r="A20" s="16" t="s">
        <v>862</v>
      </c>
      <c r="B20" s="25">
        <v>4</v>
      </c>
      <c r="C20" s="24">
        <v>0</v>
      </c>
      <c r="D20" s="25">
        <v>4</v>
      </c>
      <c r="E20" s="24">
        <v>0</v>
      </c>
      <c r="F20" s="24">
        <v>0.30663145539906106</v>
      </c>
      <c r="G20" s="25">
        <v>65.328638497652591</v>
      </c>
      <c r="H20" s="25">
        <v>0</v>
      </c>
      <c r="I20" s="25">
        <v>0</v>
      </c>
      <c r="J20" s="25">
        <v>0</v>
      </c>
      <c r="K20" s="24">
        <v>0</v>
      </c>
      <c r="L20" s="24">
        <v>0</v>
      </c>
      <c r="M20" s="17" t="s">
        <v>2202</v>
      </c>
      <c r="N20" s="18" t="s">
        <v>2203</v>
      </c>
    </row>
    <row r="21" spans="1:14" ht="25" customHeight="1" x14ac:dyDescent="0.35">
      <c r="A21" s="16" t="s">
        <v>2239</v>
      </c>
      <c r="B21" s="25">
        <v>3</v>
      </c>
      <c r="C21" s="24">
        <v>0.66666666666666663</v>
      </c>
      <c r="D21" s="25">
        <v>3</v>
      </c>
      <c r="E21" s="24">
        <v>0.66666666666666663</v>
      </c>
      <c r="F21" s="24">
        <v>0.40691977954684627</v>
      </c>
      <c r="G21" s="25">
        <v>78.473361910594008</v>
      </c>
      <c r="H21" s="25">
        <v>118.5</v>
      </c>
      <c r="I21" s="25">
        <v>118.5</v>
      </c>
      <c r="J21" s="25">
        <v>144.25</v>
      </c>
      <c r="K21" s="24">
        <v>0.33333333333333331</v>
      </c>
      <c r="L21" s="24">
        <v>0</v>
      </c>
      <c r="M21" s="17" t="s">
        <v>2202</v>
      </c>
      <c r="N21" s="18" t="s">
        <v>2203</v>
      </c>
    </row>
    <row r="22" spans="1:14" ht="25" customHeight="1" x14ac:dyDescent="0.35">
      <c r="A22" s="16" t="s">
        <v>2240</v>
      </c>
      <c r="B22" s="25">
        <v>2</v>
      </c>
      <c r="C22" s="24">
        <v>1</v>
      </c>
      <c r="D22" s="25">
        <v>2</v>
      </c>
      <c r="E22" s="24">
        <v>1</v>
      </c>
      <c r="F22" s="24">
        <v>0.42541613316261201</v>
      </c>
      <c r="G22" s="25">
        <v>101.76760563380282</v>
      </c>
      <c r="H22" s="25">
        <v>335.5</v>
      </c>
      <c r="I22" s="25">
        <v>335.5</v>
      </c>
      <c r="J22" s="25">
        <v>346.25</v>
      </c>
      <c r="K22" s="24">
        <v>1</v>
      </c>
      <c r="L22" s="24">
        <v>1</v>
      </c>
      <c r="M22" s="17" t="s">
        <v>2202</v>
      </c>
      <c r="N22" s="18" t="s">
        <v>2203</v>
      </c>
    </row>
    <row r="23" spans="1:14" ht="25" customHeight="1" x14ac:dyDescent="0.35">
      <c r="A23" s="16" t="s">
        <v>2241</v>
      </c>
      <c r="B23" s="25">
        <v>2</v>
      </c>
      <c r="C23" s="24">
        <v>0</v>
      </c>
      <c r="D23" s="25">
        <v>2</v>
      </c>
      <c r="E23" s="24">
        <v>0</v>
      </c>
      <c r="F23" s="24">
        <v>0.33450704225352113</v>
      </c>
      <c r="G23" s="25">
        <v>71.267605633802816</v>
      </c>
      <c r="H23" s="25">
        <v>0</v>
      </c>
      <c r="I23" s="25">
        <v>0</v>
      </c>
      <c r="J23" s="25">
        <v>0</v>
      </c>
      <c r="K23" s="24">
        <v>0</v>
      </c>
      <c r="L23" s="24">
        <v>0</v>
      </c>
      <c r="M23" s="17" t="s">
        <v>2202</v>
      </c>
      <c r="N23" s="18" t="s">
        <v>2203</v>
      </c>
    </row>
    <row r="24" spans="1:14" ht="25" customHeight="1" x14ac:dyDescent="0.35">
      <c r="A24" s="16" t="s">
        <v>2242</v>
      </c>
      <c r="B24" s="25">
        <v>3</v>
      </c>
      <c r="C24" s="24">
        <v>0.33333333333333331</v>
      </c>
      <c r="D24" s="25">
        <v>2</v>
      </c>
      <c r="E24" s="24">
        <v>0.5</v>
      </c>
      <c r="F24" s="24">
        <v>0.37996158770806654</v>
      </c>
      <c r="G24" s="25">
        <v>73.313060179257363</v>
      </c>
      <c r="H24" s="25">
        <v>45</v>
      </c>
      <c r="I24" s="25">
        <v>45</v>
      </c>
      <c r="J24" s="25">
        <v>45</v>
      </c>
      <c r="K24" s="24">
        <v>0</v>
      </c>
      <c r="L24" s="24">
        <v>0</v>
      </c>
      <c r="M24" s="17" t="s">
        <v>2202</v>
      </c>
      <c r="N24" s="18" t="s">
        <v>2203</v>
      </c>
    </row>
    <row r="25" spans="1:14" ht="25" customHeight="1" x14ac:dyDescent="0.35">
      <c r="A25" s="16" t="s">
        <v>2243</v>
      </c>
      <c r="B25" s="25">
        <v>1</v>
      </c>
      <c r="C25" s="24">
        <v>0</v>
      </c>
      <c r="D25" s="25">
        <v>1</v>
      </c>
      <c r="E25" s="24">
        <v>0</v>
      </c>
      <c r="F25" s="24">
        <v>0.35043594902749831</v>
      </c>
      <c r="G25" s="25">
        <v>74.661301140174388</v>
      </c>
      <c r="H25" s="25">
        <v>0</v>
      </c>
      <c r="I25" s="25">
        <v>0</v>
      </c>
      <c r="J25" s="25">
        <v>0</v>
      </c>
      <c r="K25" s="24">
        <v>0</v>
      </c>
      <c r="L25" s="24">
        <v>0</v>
      </c>
      <c r="M25" s="17" t="s">
        <v>2202</v>
      </c>
      <c r="N25" s="18" t="s">
        <v>2203</v>
      </c>
    </row>
    <row r="26" spans="1:14" ht="25" customHeight="1" x14ac:dyDescent="0.35">
      <c r="A26" s="16" t="s">
        <v>2244</v>
      </c>
      <c r="B26" s="25">
        <v>1</v>
      </c>
      <c r="C26" s="24">
        <v>0</v>
      </c>
      <c r="D26" s="25">
        <v>1</v>
      </c>
      <c r="E26" s="24">
        <v>0</v>
      </c>
      <c r="F26" s="24">
        <v>0.35043594902749831</v>
      </c>
      <c r="G26" s="25">
        <v>74.661301140174388</v>
      </c>
      <c r="H26" s="25">
        <v>0</v>
      </c>
      <c r="I26" s="25">
        <v>0</v>
      </c>
      <c r="J26" s="25">
        <v>0</v>
      </c>
      <c r="K26" s="24">
        <v>0</v>
      </c>
      <c r="L26" s="24">
        <v>0</v>
      </c>
      <c r="M26" s="17" t="s">
        <v>2202</v>
      </c>
      <c r="N26" s="18" t="s">
        <v>2203</v>
      </c>
    </row>
    <row r="27" spans="1:14" ht="25" customHeight="1" x14ac:dyDescent="0.35">
      <c r="A27" s="16" t="s">
        <v>2245</v>
      </c>
      <c r="B27" s="25">
        <v>2</v>
      </c>
      <c r="C27" s="24">
        <v>1</v>
      </c>
      <c r="D27" s="25">
        <v>1</v>
      </c>
      <c r="E27" s="24">
        <v>1</v>
      </c>
      <c r="F27" s="24">
        <v>0.39805499664654592</v>
      </c>
      <c r="G27" s="25">
        <v>77.089872568745818</v>
      </c>
      <c r="H27" s="25">
        <v>51</v>
      </c>
      <c r="I27" s="25">
        <v>51</v>
      </c>
      <c r="J27" s="25">
        <v>51</v>
      </c>
      <c r="K27" s="24">
        <v>0</v>
      </c>
      <c r="L27" s="24">
        <v>0</v>
      </c>
      <c r="M27" s="17" t="s">
        <v>2202</v>
      </c>
      <c r="N27" s="18" t="s">
        <v>2203</v>
      </c>
    </row>
    <row r="28" spans="1:14" ht="25" customHeight="1" x14ac:dyDescent="0.35">
      <c r="A28" s="16" t="s">
        <v>2246</v>
      </c>
      <c r="B28" s="25">
        <v>1</v>
      </c>
      <c r="C28" s="24">
        <v>1</v>
      </c>
      <c r="D28" s="25">
        <v>1</v>
      </c>
      <c r="E28" s="24">
        <v>1</v>
      </c>
      <c r="F28" s="24">
        <v>0.39805499664654592</v>
      </c>
      <c r="G28" s="25">
        <v>82.756539235412475</v>
      </c>
      <c r="H28" s="25">
        <v>170</v>
      </c>
      <c r="I28" s="25">
        <v>170</v>
      </c>
      <c r="J28" s="25">
        <v>170</v>
      </c>
      <c r="K28" s="24">
        <v>1</v>
      </c>
      <c r="L28" s="24">
        <v>0</v>
      </c>
      <c r="M28" s="17" t="s">
        <v>2202</v>
      </c>
      <c r="N28" s="18" t="s">
        <v>2203</v>
      </c>
    </row>
    <row r="29" spans="1:14" ht="25" customHeight="1" x14ac:dyDescent="0.35">
      <c r="A29" s="16" t="s">
        <v>2247</v>
      </c>
      <c r="B29" s="25">
        <v>1</v>
      </c>
      <c r="C29" s="24">
        <v>1</v>
      </c>
      <c r="D29" s="25">
        <v>1</v>
      </c>
      <c r="E29" s="24">
        <v>1</v>
      </c>
      <c r="F29" s="24">
        <v>0.39805499664654592</v>
      </c>
      <c r="G29" s="25">
        <v>114.04225352112677</v>
      </c>
      <c r="H29" s="25">
        <v>827</v>
      </c>
      <c r="I29" s="25">
        <v>827</v>
      </c>
      <c r="J29" s="25">
        <v>827</v>
      </c>
      <c r="K29" s="24">
        <v>1</v>
      </c>
      <c r="L29" s="24">
        <v>1</v>
      </c>
      <c r="M29" s="17" t="s">
        <v>2202</v>
      </c>
      <c r="N29" s="18" t="s">
        <v>2203</v>
      </c>
    </row>
    <row r="30" spans="1:14" ht="25" customHeight="1" x14ac:dyDescent="0.35">
      <c r="A30" s="16" t="s">
        <v>511</v>
      </c>
      <c r="B30" s="25">
        <v>3</v>
      </c>
      <c r="C30" s="24">
        <v>0.33333333333333331</v>
      </c>
      <c r="D30" s="25">
        <v>1</v>
      </c>
      <c r="E30" s="24">
        <v>0</v>
      </c>
      <c r="F30" s="24">
        <v>0.35043594902749831</v>
      </c>
      <c r="G30" s="25">
        <v>74.661301140174388</v>
      </c>
      <c r="H30" s="25">
        <v>0</v>
      </c>
      <c r="I30" s="25">
        <v>0</v>
      </c>
      <c r="J30" s="25">
        <v>0</v>
      </c>
      <c r="K30" s="24">
        <v>0</v>
      </c>
      <c r="L30" s="24">
        <v>0</v>
      </c>
      <c r="M30" s="17" t="s">
        <v>2202</v>
      </c>
      <c r="N30" s="18" t="s">
        <v>2203</v>
      </c>
    </row>
    <row r="31" spans="1:14" ht="25" customHeight="1" x14ac:dyDescent="0.35">
      <c r="A31" s="16" t="s">
        <v>2248</v>
      </c>
      <c r="B31" s="25">
        <v>1</v>
      </c>
      <c r="C31" s="24">
        <v>0</v>
      </c>
      <c r="D31" s="25">
        <v>1</v>
      </c>
      <c r="E31" s="24">
        <v>0</v>
      </c>
      <c r="F31" s="24">
        <v>0.35043594902749831</v>
      </c>
      <c r="G31" s="25">
        <v>74.661301140174388</v>
      </c>
      <c r="H31" s="25">
        <v>0</v>
      </c>
      <c r="I31" s="25">
        <v>0</v>
      </c>
      <c r="J31" s="25">
        <v>0</v>
      </c>
      <c r="K31" s="24">
        <v>0</v>
      </c>
      <c r="L31" s="24">
        <v>0</v>
      </c>
      <c r="M31" s="17" t="s">
        <v>2202</v>
      </c>
      <c r="N31" s="18" t="s">
        <v>2203</v>
      </c>
    </row>
    <row r="32" spans="1:14" ht="25" customHeight="1" x14ac:dyDescent="0.35">
      <c r="A32" s="19" t="s">
        <v>2249</v>
      </c>
      <c r="B32" s="32">
        <v>1</v>
      </c>
      <c r="C32" s="30">
        <v>0</v>
      </c>
      <c r="D32" s="32">
        <v>0</v>
      </c>
      <c r="E32" s="30"/>
      <c r="F32" s="30">
        <v>0.36795774647887325</v>
      </c>
      <c r="G32" s="32">
        <v>78.394366197183103</v>
      </c>
      <c r="H32" s="32">
        <v>0</v>
      </c>
      <c r="I32" s="32">
        <v>0</v>
      </c>
      <c r="J32" s="32">
        <v>0</v>
      </c>
      <c r="K32" s="30"/>
      <c r="L32" s="30"/>
      <c r="M32" s="20" t="s">
        <v>2202</v>
      </c>
      <c r="N32" s="21" t="s">
        <v>2203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98"/>
  <sheetViews>
    <sheetView tabSelected="1" topLeftCell="A2" workbookViewId="0">
      <selection activeCell="A16" sqref="A16"/>
    </sheetView>
  </sheetViews>
  <sheetFormatPr defaultRowHeight="14.5" x14ac:dyDescent="0.35"/>
  <cols>
    <col min="1" max="1" width="42.1796875" customWidth="1"/>
    <col min="2" max="2" width="12" customWidth="1"/>
    <col min="3" max="6" width="14" customWidth="1"/>
    <col min="7" max="10" width="16" customWidth="1"/>
    <col min="11" max="13" width="12" customWidth="1"/>
    <col min="14" max="14" width="28" customWidth="1"/>
  </cols>
  <sheetData>
    <row r="1" spans="1:14" ht="47" customHeight="1" x14ac:dyDescent="0.5">
      <c r="A1" s="8" t="s">
        <v>2250</v>
      </c>
      <c r="B1" s="8"/>
      <c r="C1" s="8"/>
      <c r="D1" s="8"/>
      <c r="E1" s="8"/>
      <c r="F1" s="8"/>
      <c r="G1" s="8"/>
      <c r="H1" s="8"/>
      <c r="I1" s="8"/>
      <c r="J1" s="8"/>
      <c r="K1" s="8"/>
      <c r="L1" s="8"/>
      <c r="M1" s="8"/>
      <c r="N1" s="8"/>
    </row>
    <row r="2" spans="1:14" ht="29" x14ac:dyDescent="0.35">
      <c r="A2" s="9" t="s">
        <v>2251</v>
      </c>
      <c r="B2" s="9"/>
      <c r="C2" s="9"/>
      <c r="D2" s="9"/>
      <c r="E2" s="9"/>
      <c r="F2" s="9"/>
      <c r="G2" s="9"/>
      <c r="H2" s="9"/>
      <c r="I2" s="9"/>
      <c r="J2" s="9"/>
      <c r="K2" s="9"/>
      <c r="L2" s="9"/>
      <c r="M2" s="9"/>
      <c r="N2" s="9"/>
    </row>
    <row r="4" spans="1:14" ht="39.5" customHeight="1" x14ac:dyDescent="0.35">
      <c r="A4" s="26" t="s">
        <v>2168</v>
      </c>
      <c r="B4" s="27" t="s">
        <v>2140</v>
      </c>
      <c r="C4" s="27" t="s">
        <v>2188</v>
      </c>
      <c r="D4" s="27" t="s">
        <v>2169</v>
      </c>
      <c r="E4" s="27" t="s">
        <v>2189</v>
      </c>
      <c r="F4" s="27" t="s">
        <v>2190</v>
      </c>
      <c r="G4" s="27" t="s">
        <v>2191</v>
      </c>
      <c r="H4" s="27" t="s">
        <v>2192</v>
      </c>
      <c r="I4" s="27" t="s">
        <v>2193</v>
      </c>
      <c r="J4" s="27" t="s">
        <v>2194</v>
      </c>
      <c r="K4" s="27" t="s">
        <v>2171</v>
      </c>
      <c r="L4" s="27" t="s">
        <v>2172</v>
      </c>
      <c r="M4" s="27" t="s">
        <v>2173</v>
      </c>
      <c r="N4" s="28" t="s">
        <v>2195</v>
      </c>
    </row>
    <row r="5" spans="1:14" ht="25" customHeight="1" x14ac:dyDescent="0.35">
      <c r="A5" s="13" t="s">
        <v>310</v>
      </c>
      <c r="B5" s="31">
        <v>162</v>
      </c>
      <c r="C5" s="29">
        <v>0.50617283950617287</v>
      </c>
      <c r="D5" s="31">
        <v>137</v>
      </c>
      <c r="E5" s="29">
        <v>0.51094890510948909</v>
      </c>
      <c r="F5" s="29">
        <v>0.49273347088902847</v>
      </c>
      <c r="G5" s="31">
        <v>120.15214856015071</v>
      </c>
      <c r="H5" s="31">
        <v>247.08571428571429</v>
      </c>
      <c r="I5" s="31">
        <v>162.5</v>
      </c>
      <c r="J5" s="31">
        <v>341.75</v>
      </c>
      <c r="K5" s="29">
        <v>0.34306569343065696</v>
      </c>
      <c r="L5" s="29">
        <v>0.24087591240875914</v>
      </c>
      <c r="M5" s="14" t="s">
        <v>2196</v>
      </c>
      <c r="N5" s="15" t="s">
        <v>2209</v>
      </c>
    </row>
    <row r="6" spans="1:14" ht="25" customHeight="1" x14ac:dyDescent="0.35">
      <c r="A6" s="16" t="s">
        <v>355</v>
      </c>
      <c r="B6" s="25">
        <v>85</v>
      </c>
      <c r="C6" s="24">
        <v>0.31764705882352939</v>
      </c>
      <c r="D6" s="25">
        <v>75</v>
      </c>
      <c r="E6" s="24">
        <v>0.32</v>
      </c>
      <c r="F6" s="24">
        <v>0.3300963676797628</v>
      </c>
      <c r="G6" s="25">
        <v>106.19881393624907</v>
      </c>
      <c r="H6" s="25">
        <v>355.04166666666669</v>
      </c>
      <c r="I6" s="25">
        <v>192.5</v>
      </c>
      <c r="J6" s="25">
        <v>585.75</v>
      </c>
      <c r="K6" s="24">
        <v>0.21333333333333335</v>
      </c>
      <c r="L6" s="24">
        <v>0.18666666666666668</v>
      </c>
      <c r="M6" s="17" t="s">
        <v>2196</v>
      </c>
      <c r="N6" s="18" t="s">
        <v>2197</v>
      </c>
    </row>
    <row r="7" spans="1:14" ht="25" customHeight="1" x14ac:dyDescent="0.35">
      <c r="A7" s="16" t="s">
        <v>2156</v>
      </c>
      <c r="B7" s="25">
        <v>51</v>
      </c>
      <c r="C7" s="24">
        <v>0.47058823529411764</v>
      </c>
      <c r="D7" s="25">
        <v>44</v>
      </c>
      <c r="E7" s="24">
        <v>0.52272727272727271</v>
      </c>
      <c r="F7" s="24">
        <v>0.47436179577464788</v>
      </c>
      <c r="G7" s="25">
        <v>145.29511443661971</v>
      </c>
      <c r="H7" s="25">
        <v>336.13043478260869</v>
      </c>
      <c r="I7" s="25">
        <v>280</v>
      </c>
      <c r="J7" s="25">
        <v>388</v>
      </c>
      <c r="K7" s="24">
        <v>0.43181818181818182</v>
      </c>
      <c r="L7" s="24">
        <v>0.38636363636363635</v>
      </c>
      <c r="M7" s="17" t="s">
        <v>2200</v>
      </c>
      <c r="N7" s="18" t="s">
        <v>2209</v>
      </c>
    </row>
    <row r="8" spans="1:14" ht="25" customHeight="1" x14ac:dyDescent="0.35">
      <c r="A8" s="16" t="s">
        <v>191</v>
      </c>
      <c r="B8" s="25">
        <v>44</v>
      </c>
      <c r="C8" s="24">
        <v>0.25</v>
      </c>
      <c r="D8" s="25">
        <v>38</v>
      </c>
      <c r="E8" s="24">
        <v>0.26315789473684209</v>
      </c>
      <c r="F8" s="24">
        <v>0.29929577464788731</v>
      </c>
      <c r="G8" s="25">
        <v>63.618746964545899</v>
      </c>
      <c r="H8" s="25">
        <v>212.2</v>
      </c>
      <c r="I8" s="25">
        <v>95</v>
      </c>
      <c r="J8" s="25">
        <v>356.25</v>
      </c>
      <c r="K8" s="24">
        <v>0.13157894736842105</v>
      </c>
      <c r="L8" s="24">
        <v>7.8947368421052627E-2</v>
      </c>
      <c r="M8" s="17" t="s">
        <v>2200</v>
      </c>
      <c r="N8" s="18" t="s">
        <v>2199</v>
      </c>
    </row>
    <row r="9" spans="1:14" ht="25" customHeight="1" x14ac:dyDescent="0.35">
      <c r="A9" s="16" t="s">
        <v>937</v>
      </c>
      <c r="B9" s="25">
        <v>40</v>
      </c>
      <c r="C9" s="24">
        <v>0.875</v>
      </c>
      <c r="D9" s="25">
        <v>36</v>
      </c>
      <c r="E9" s="24">
        <v>0.88888888888888884</v>
      </c>
      <c r="F9" s="24">
        <v>0.7028420523138833</v>
      </c>
      <c r="G9" s="25">
        <v>160.23013078470825</v>
      </c>
      <c r="H9" s="25">
        <v>231.40625</v>
      </c>
      <c r="I9" s="25">
        <v>140</v>
      </c>
      <c r="J9" s="25">
        <v>307.25</v>
      </c>
      <c r="K9" s="24">
        <v>0.52777777777777779</v>
      </c>
      <c r="L9" s="24">
        <v>0.3888888888888889</v>
      </c>
      <c r="M9" s="17" t="s">
        <v>2200</v>
      </c>
      <c r="N9" s="18" t="s">
        <v>2209</v>
      </c>
    </row>
    <row r="10" spans="1:14" ht="25" customHeight="1" x14ac:dyDescent="0.35">
      <c r="A10" s="16" t="s">
        <v>58</v>
      </c>
      <c r="B10" s="25">
        <v>39</v>
      </c>
      <c r="C10" s="24">
        <v>0.25641025641025639</v>
      </c>
      <c r="D10" s="25">
        <v>30</v>
      </c>
      <c r="E10" s="24">
        <v>0.26666666666666666</v>
      </c>
      <c r="F10" s="24">
        <v>0.3071830985915493</v>
      </c>
      <c r="G10" s="25">
        <v>104.91774647887323</v>
      </c>
      <c r="H10" s="25">
        <v>459.75</v>
      </c>
      <c r="I10" s="25">
        <v>315.5</v>
      </c>
      <c r="J10" s="25">
        <v>825</v>
      </c>
      <c r="K10" s="24">
        <v>0.16666666666666666</v>
      </c>
      <c r="L10" s="24">
        <v>0.13333333333333333</v>
      </c>
      <c r="M10" s="17" t="s">
        <v>2200</v>
      </c>
      <c r="N10" s="18" t="s">
        <v>2197</v>
      </c>
    </row>
    <row r="11" spans="1:14" ht="25" customHeight="1" x14ac:dyDescent="0.35">
      <c r="A11" s="16" t="s">
        <v>39</v>
      </c>
      <c r="B11" s="25">
        <v>38</v>
      </c>
      <c r="C11" s="24">
        <v>0.44736842105263158</v>
      </c>
      <c r="D11" s="25">
        <v>29</v>
      </c>
      <c r="E11" s="24">
        <v>0.48275862068965519</v>
      </c>
      <c r="F11" s="24">
        <v>0.43590112101178496</v>
      </c>
      <c r="G11" s="25">
        <v>77.507904570278811</v>
      </c>
      <c r="H11" s="25">
        <v>159.28571428571428</v>
      </c>
      <c r="I11" s="25">
        <v>125</v>
      </c>
      <c r="J11" s="25">
        <v>198.75</v>
      </c>
      <c r="K11" s="24">
        <v>0.27586206896551724</v>
      </c>
      <c r="L11" s="24">
        <v>0.17241379310344829</v>
      </c>
      <c r="M11" s="17" t="s">
        <v>2200</v>
      </c>
      <c r="N11" s="18" t="s">
        <v>2199</v>
      </c>
    </row>
    <row r="12" spans="1:14" ht="25" customHeight="1" x14ac:dyDescent="0.35">
      <c r="A12" s="16" t="s">
        <v>1471</v>
      </c>
      <c r="B12" s="25">
        <v>26</v>
      </c>
      <c r="C12" s="24">
        <v>0.57692307692307687</v>
      </c>
      <c r="D12" s="25">
        <v>23</v>
      </c>
      <c r="E12" s="24">
        <v>0.56521739130434778</v>
      </c>
      <c r="F12" s="24">
        <v>0.47346871929249917</v>
      </c>
      <c r="G12" s="25">
        <v>141.62528660334098</v>
      </c>
      <c r="H12" s="25">
        <v>347.84615384615387</v>
      </c>
      <c r="I12" s="25">
        <v>273</v>
      </c>
      <c r="J12" s="25">
        <v>402</v>
      </c>
      <c r="K12" s="24">
        <v>0.47826086956521741</v>
      </c>
      <c r="L12" s="24">
        <v>0.47826086956521741</v>
      </c>
      <c r="M12" s="17" t="s">
        <v>2200</v>
      </c>
      <c r="N12" s="18" t="s">
        <v>2209</v>
      </c>
    </row>
    <row r="13" spans="1:14" ht="25" customHeight="1" x14ac:dyDescent="0.35">
      <c r="A13" s="16" t="s">
        <v>293</v>
      </c>
      <c r="B13" s="25">
        <v>24</v>
      </c>
      <c r="C13" s="24">
        <v>0.375</v>
      </c>
      <c r="D13" s="25">
        <v>22</v>
      </c>
      <c r="E13" s="24">
        <v>0.36363636363636365</v>
      </c>
      <c r="F13" s="24">
        <v>0.36569416498993962</v>
      </c>
      <c r="G13" s="25">
        <v>60.402079141515763</v>
      </c>
      <c r="H13" s="25">
        <v>121.125</v>
      </c>
      <c r="I13" s="25">
        <v>97.5</v>
      </c>
      <c r="J13" s="25">
        <v>170.5</v>
      </c>
      <c r="K13" s="24">
        <v>0.18181818181818182</v>
      </c>
      <c r="L13" s="24">
        <v>9.0909090909090912E-2</v>
      </c>
      <c r="M13" s="17" t="s">
        <v>2200</v>
      </c>
      <c r="N13" s="18" t="s">
        <v>2199</v>
      </c>
    </row>
    <row r="14" spans="1:14" ht="25" customHeight="1" x14ac:dyDescent="0.35">
      <c r="A14" s="16" t="s">
        <v>1407</v>
      </c>
      <c r="B14" s="25">
        <v>25</v>
      </c>
      <c r="C14" s="24">
        <v>0.32</v>
      </c>
      <c r="D14" s="25">
        <v>20</v>
      </c>
      <c r="E14" s="24">
        <v>0.3</v>
      </c>
      <c r="F14" s="24">
        <v>0.33397887323943659</v>
      </c>
      <c r="G14" s="25">
        <v>51.72218309859155</v>
      </c>
      <c r="H14" s="25">
        <v>83.5</v>
      </c>
      <c r="I14" s="25">
        <v>77.5</v>
      </c>
      <c r="J14" s="25">
        <v>99.25</v>
      </c>
      <c r="K14" s="24">
        <v>0.15</v>
      </c>
      <c r="L14" s="24">
        <v>0</v>
      </c>
      <c r="M14" s="17" t="s">
        <v>2200</v>
      </c>
      <c r="N14" s="18" t="s">
        <v>2199</v>
      </c>
    </row>
    <row r="15" spans="1:14" ht="25" customHeight="1" x14ac:dyDescent="0.35">
      <c r="A15" s="16" t="s">
        <v>30</v>
      </c>
      <c r="B15" s="25">
        <v>25</v>
      </c>
      <c r="C15" s="24">
        <v>0.32</v>
      </c>
      <c r="D15" s="25">
        <v>17</v>
      </c>
      <c r="E15" s="24">
        <v>0.41176470588235292</v>
      </c>
      <c r="F15" s="24">
        <v>0.3880852683669585</v>
      </c>
      <c r="G15" s="25">
        <v>59.915873620098978</v>
      </c>
      <c r="H15" s="25">
        <v>92.714285714285708</v>
      </c>
      <c r="I15" s="25">
        <v>61</v>
      </c>
      <c r="J15" s="25">
        <v>73</v>
      </c>
      <c r="K15" s="24">
        <v>5.8823529411764705E-2</v>
      </c>
      <c r="L15" s="24">
        <v>5.8823529411764705E-2</v>
      </c>
      <c r="M15" s="17" t="s">
        <v>2200</v>
      </c>
      <c r="N15" s="18" t="s">
        <v>2199</v>
      </c>
    </row>
    <row r="16" spans="1:14" ht="25" customHeight="1" x14ac:dyDescent="0.35">
      <c r="A16" s="16" t="s">
        <v>296</v>
      </c>
      <c r="B16" s="25">
        <v>12</v>
      </c>
      <c r="C16" s="24">
        <v>0</v>
      </c>
      <c r="D16" s="25">
        <v>12</v>
      </c>
      <c r="E16" s="24">
        <v>0</v>
      </c>
      <c r="F16" s="24">
        <v>0.22997359154929578</v>
      </c>
      <c r="G16" s="25">
        <v>48.99647887323944</v>
      </c>
      <c r="H16" s="25">
        <v>0</v>
      </c>
      <c r="I16" s="25">
        <v>0</v>
      </c>
      <c r="J16" s="25">
        <v>0</v>
      </c>
      <c r="K16" s="24">
        <v>0</v>
      </c>
      <c r="L16" s="24">
        <v>0</v>
      </c>
      <c r="M16" s="17" t="s">
        <v>2201</v>
      </c>
      <c r="N16" s="18" t="s">
        <v>2198</v>
      </c>
    </row>
    <row r="17" spans="1:14" ht="25" customHeight="1" x14ac:dyDescent="0.35">
      <c r="A17" s="16" t="s">
        <v>2252</v>
      </c>
      <c r="B17" s="25">
        <v>9</v>
      </c>
      <c r="C17" s="24">
        <v>0.77777777777777779</v>
      </c>
      <c r="D17" s="25">
        <v>9</v>
      </c>
      <c r="E17" s="24">
        <v>0.77777777777777779</v>
      </c>
      <c r="F17" s="24">
        <v>0.49514327343370568</v>
      </c>
      <c r="G17" s="25">
        <v>81.78921806702283</v>
      </c>
      <c r="H17" s="25">
        <v>114.85714285714286</v>
      </c>
      <c r="I17" s="25">
        <v>61</v>
      </c>
      <c r="J17" s="25">
        <v>150.5</v>
      </c>
      <c r="K17" s="24">
        <v>0.22222222222222221</v>
      </c>
      <c r="L17" s="24">
        <v>0.22222222222222221</v>
      </c>
      <c r="M17" s="17" t="s">
        <v>2201</v>
      </c>
      <c r="N17" s="18" t="s">
        <v>2197</v>
      </c>
    </row>
    <row r="18" spans="1:14" ht="25" customHeight="1" x14ac:dyDescent="0.35">
      <c r="A18" s="16" t="s">
        <v>49</v>
      </c>
      <c r="B18" s="25">
        <v>13</v>
      </c>
      <c r="C18" s="24">
        <v>7.6923076923076927E-2</v>
      </c>
      <c r="D18" s="25">
        <v>9</v>
      </c>
      <c r="E18" s="24">
        <v>0.1111111111111111</v>
      </c>
      <c r="F18" s="24">
        <v>0.28824672170956772</v>
      </c>
      <c r="G18" s="25">
        <v>58.685769791160759</v>
      </c>
      <c r="H18" s="25">
        <v>134</v>
      </c>
      <c r="I18" s="25">
        <v>134</v>
      </c>
      <c r="J18" s="25">
        <v>134</v>
      </c>
      <c r="K18" s="24">
        <v>0.1111111111111111</v>
      </c>
      <c r="L18" s="24">
        <v>0</v>
      </c>
      <c r="M18" s="17" t="s">
        <v>2201</v>
      </c>
      <c r="N18" s="18" t="s">
        <v>2199</v>
      </c>
    </row>
    <row r="19" spans="1:14" ht="25" customHeight="1" x14ac:dyDescent="0.35">
      <c r="A19" s="16" t="s">
        <v>268</v>
      </c>
      <c r="B19" s="25">
        <v>10</v>
      </c>
      <c r="C19" s="24">
        <v>0.4</v>
      </c>
      <c r="D19" s="25">
        <v>8</v>
      </c>
      <c r="E19" s="24">
        <v>0.375</v>
      </c>
      <c r="F19" s="24">
        <v>0.36996981891348085</v>
      </c>
      <c r="G19" s="25">
        <v>89.603118712273641</v>
      </c>
      <c r="H19" s="25">
        <v>313.66666666666669</v>
      </c>
      <c r="I19" s="25">
        <v>367</v>
      </c>
      <c r="J19" s="25">
        <v>384.5</v>
      </c>
      <c r="K19" s="24">
        <v>0.375</v>
      </c>
      <c r="L19" s="24">
        <v>0.25</v>
      </c>
      <c r="M19" s="17" t="s">
        <v>2201</v>
      </c>
      <c r="N19" s="18" t="s">
        <v>2197</v>
      </c>
    </row>
    <row r="20" spans="1:14" ht="25" customHeight="1" x14ac:dyDescent="0.35">
      <c r="A20" s="16" t="s">
        <v>1109</v>
      </c>
      <c r="B20" s="25">
        <v>10</v>
      </c>
      <c r="C20" s="24">
        <v>0.6</v>
      </c>
      <c r="D20" s="25">
        <v>8</v>
      </c>
      <c r="E20" s="24">
        <v>0.75</v>
      </c>
      <c r="F20" s="24">
        <v>0.477112676056338</v>
      </c>
      <c r="G20" s="25">
        <v>79.495975855130794</v>
      </c>
      <c r="H20" s="25">
        <v>109.66666666666667</v>
      </c>
      <c r="I20" s="25">
        <v>118</v>
      </c>
      <c r="J20" s="25">
        <v>174</v>
      </c>
      <c r="K20" s="24">
        <v>0.375</v>
      </c>
      <c r="L20" s="24">
        <v>0.125</v>
      </c>
      <c r="M20" s="17" t="s">
        <v>2201</v>
      </c>
      <c r="N20" s="18" t="s">
        <v>2197</v>
      </c>
    </row>
    <row r="21" spans="1:14" ht="25" customHeight="1" x14ac:dyDescent="0.35">
      <c r="A21" s="16" t="s">
        <v>2253</v>
      </c>
      <c r="B21" s="25">
        <v>7</v>
      </c>
      <c r="C21" s="24">
        <v>0.5714285714285714</v>
      </c>
      <c r="D21" s="25">
        <v>7</v>
      </c>
      <c r="E21" s="24">
        <v>0.5714285714285714</v>
      </c>
      <c r="F21" s="24">
        <v>0.42070944183620235</v>
      </c>
      <c r="G21" s="25">
        <v>89.551382368283782</v>
      </c>
      <c r="H21" s="25">
        <v>212.5</v>
      </c>
      <c r="I21" s="25">
        <v>48</v>
      </c>
      <c r="J21" s="25">
        <v>232.5</v>
      </c>
      <c r="K21" s="24">
        <v>0.14285714285714285</v>
      </c>
      <c r="L21" s="24">
        <v>0.14285714285714285</v>
      </c>
      <c r="M21" s="17" t="s">
        <v>2201</v>
      </c>
      <c r="N21" s="18" t="s">
        <v>2197</v>
      </c>
    </row>
    <row r="22" spans="1:14" ht="25" customHeight="1" x14ac:dyDescent="0.35">
      <c r="A22" s="16" t="s">
        <v>441</v>
      </c>
      <c r="B22" s="25">
        <v>8</v>
      </c>
      <c r="C22" s="24">
        <v>0</v>
      </c>
      <c r="D22" s="25">
        <v>7</v>
      </c>
      <c r="E22" s="24">
        <v>0</v>
      </c>
      <c r="F22" s="24">
        <v>0.27256129368805426</v>
      </c>
      <c r="G22" s="25">
        <v>58.069900886802301</v>
      </c>
      <c r="H22" s="25">
        <v>0</v>
      </c>
      <c r="I22" s="25">
        <v>0</v>
      </c>
      <c r="J22" s="25">
        <v>0</v>
      </c>
      <c r="K22" s="24">
        <v>0</v>
      </c>
      <c r="L22" s="24">
        <v>0</v>
      </c>
      <c r="M22" s="17" t="s">
        <v>2201</v>
      </c>
      <c r="N22" s="18" t="s">
        <v>2199</v>
      </c>
    </row>
    <row r="23" spans="1:14" ht="25" customHeight="1" x14ac:dyDescent="0.35">
      <c r="A23" s="16" t="s">
        <v>1448</v>
      </c>
      <c r="B23" s="25">
        <v>8</v>
      </c>
      <c r="C23" s="24">
        <v>0.125</v>
      </c>
      <c r="D23" s="25">
        <v>6</v>
      </c>
      <c r="E23" s="24">
        <v>0.16666666666666666</v>
      </c>
      <c r="F23" s="24">
        <v>0.32150595882990246</v>
      </c>
      <c r="G23" s="25">
        <v>71.918743228602381</v>
      </c>
      <c r="H23" s="25">
        <v>302</v>
      </c>
      <c r="I23" s="25">
        <v>302</v>
      </c>
      <c r="J23" s="25">
        <v>302</v>
      </c>
      <c r="K23" s="24">
        <v>0.16666666666666666</v>
      </c>
      <c r="L23" s="24">
        <v>0.16666666666666666</v>
      </c>
      <c r="M23" s="17" t="s">
        <v>2201</v>
      </c>
      <c r="N23" s="18" t="s">
        <v>2199</v>
      </c>
    </row>
    <row r="24" spans="1:14" ht="25" customHeight="1" x14ac:dyDescent="0.35">
      <c r="A24" s="16" t="s">
        <v>2254</v>
      </c>
      <c r="B24" s="25">
        <v>9</v>
      </c>
      <c r="C24" s="24">
        <v>0.44444444444444442</v>
      </c>
      <c r="D24" s="25">
        <v>6</v>
      </c>
      <c r="E24" s="24">
        <v>0.5</v>
      </c>
      <c r="F24" s="24">
        <v>0.39842903575297939</v>
      </c>
      <c r="G24" s="25">
        <v>76.303358613217767</v>
      </c>
      <c r="H24" s="25">
        <v>138.66666666666666</v>
      </c>
      <c r="I24" s="25">
        <v>170</v>
      </c>
      <c r="J24" s="25">
        <v>200.5</v>
      </c>
      <c r="K24" s="24">
        <v>0.33333333333333331</v>
      </c>
      <c r="L24" s="24">
        <v>0.16666666666666666</v>
      </c>
      <c r="M24" s="17" t="s">
        <v>2201</v>
      </c>
      <c r="N24" s="18" t="s">
        <v>2199</v>
      </c>
    </row>
    <row r="25" spans="1:14" ht="25" customHeight="1" x14ac:dyDescent="0.35">
      <c r="A25" s="16" t="s">
        <v>2255</v>
      </c>
      <c r="B25" s="25">
        <v>5</v>
      </c>
      <c r="C25" s="24">
        <v>1</v>
      </c>
      <c r="D25" s="25">
        <v>5</v>
      </c>
      <c r="E25" s="24">
        <v>1</v>
      </c>
      <c r="F25" s="24">
        <v>0.49436619718309854</v>
      </c>
      <c r="G25" s="25">
        <v>151.23549295774649</v>
      </c>
      <c r="H25" s="25">
        <v>442.6</v>
      </c>
      <c r="I25" s="25">
        <v>357</v>
      </c>
      <c r="J25" s="25">
        <v>589</v>
      </c>
      <c r="K25" s="24">
        <v>0.8</v>
      </c>
      <c r="L25" s="24">
        <v>0.8</v>
      </c>
      <c r="M25" s="17" t="s">
        <v>2201</v>
      </c>
      <c r="N25" s="18" t="s">
        <v>2209</v>
      </c>
    </row>
    <row r="26" spans="1:14" ht="25" customHeight="1" x14ac:dyDescent="0.35">
      <c r="A26" s="16" t="s">
        <v>2256</v>
      </c>
      <c r="B26" s="25">
        <v>5</v>
      </c>
      <c r="C26" s="24">
        <v>0.6</v>
      </c>
      <c r="D26" s="25">
        <v>5</v>
      </c>
      <c r="E26" s="24">
        <v>0.6</v>
      </c>
      <c r="F26" s="24">
        <v>0.41436619718309858</v>
      </c>
      <c r="G26" s="25">
        <v>90.755492957746483</v>
      </c>
      <c r="H26" s="25">
        <v>233.66666666666666</v>
      </c>
      <c r="I26" s="25">
        <v>224</v>
      </c>
      <c r="J26" s="25">
        <v>263</v>
      </c>
      <c r="K26" s="24">
        <v>0.6</v>
      </c>
      <c r="L26" s="24">
        <v>0.4</v>
      </c>
      <c r="M26" s="17" t="s">
        <v>2201</v>
      </c>
      <c r="N26" s="18" t="s">
        <v>2197</v>
      </c>
    </row>
    <row r="27" spans="1:14" ht="25" customHeight="1" x14ac:dyDescent="0.35">
      <c r="A27" s="16" t="s">
        <v>641</v>
      </c>
      <c r="B27" s="25">
        <v>5</v>
      </c>
      <c r="C27" s="24">
        <v>0</v>
      </c>
      <c r="D27" s="25">
        <v>5</v>
      </c>
      <c r="E27" s="24">
        <v>0</v>
      </c>
      <c r="F27" s="24">
        <v>0.29436619718309859</v>
      </c>
      <c r="G27" s="25">
        <v>62.715492957746484</v>
      </c>
      <c r="H27" s="25">
        <v>0</v>
      </c>
      <c r="I27" s="25">
        <v>0</v>
      </c>
      <c r="J27" s="25">
        <v>0</v>
      </c>
      <c r="K27" s="24">
        <v>0</v>
      </c>
      <c r="L27" s="24">
        <v>0</v>
      </c>
      <c r="M27" s="17" t="s">
        <v>2201</v>
      </c>
      <c r="N27" s="18" t="s">
        <v>2199</v>
      </c>
    </row>
    <row r="28" spans="1:14" ht="25" customHeight="1" x14ac:dyDescent="0.35">
      <c r="A28" s="16" t="s">
        <v>2257</v>
      </c>
      <c r="B28" s="25">
        <v>5</v>
      </c>
      <c r="C28" s="24">
        <v>0.2</v>
      </c>
      <c r="D28" s="25">
        <v>5</v>
      </c>
      <c r="E28" s="24">
        <v>0.2</v>
      </c>
      <c r="F28" s="24">
        <v>0.33436619718309857</v>
      </c>
      <c r="G28" s="25">
        <v>64.835492957746482</v>
      </c>
      <c r="H28" s="25">
        <v>53</v>
      </c>
      <c r="I28" s="25">
        <v>53</v>
      </c>
      <c r="J28" s="25">
        <v>53</v>
      </c>
      <c r="K28" s="24">
        <v>0</v>
      </c>
      <c r="L28" s="24">
        <v>0</v>
      </c>
      <c r="M28" s="17" t="s">
        <v>2201</v>
      </c>
      <c r="N28" s="18" t="s">
        <v>2199</v>
      </c>
    </row>
    <row r="29" spans="1:14" ht="25" customHeight="1" x14ac:dyDescent="0.35">
      <c r="A29" s="16" t="s">
        <v>1252</v>
      </c>
      <c r="B29" s="25">
        <v>6</v>
      </c>
      <c r="C29" s="24">
        <v>0.16666666666666666</v>
      </c>
      <c r="D29" s="25">
        <v>5</v>
      </c>
      <c r="E29" s="24">
        <v>0</v>
      </c>
      <c r="F29" s="24">
        <v>0.29436619718309859</v>
      </c>
      <c r="G29" s="25">
        <v>62.715492957746484</v>
      </c>
      <c r="H29" s="25">
        <v>0</v>
      </c>
      <c r="I29" s="25">
        <v>0</v>
      </c>
      <c r="J29" s="25">
        <v>0</v>
      </c>
      <c r="K29" s="24">
        <v>0</v>
      </c>
      <c r="L29" s="24">
        <v>0</v>
      </c>
      <c r="M29" s="17" t="s">
        <v>2201</v>
      </c>
      <c r="N29" s="18" t="s">
        <v>2199</v>
      </c>
    </row>
    <row r="30" spans="1:14" ht="25" customHeight="1" x14ac:dyDescent="0.35">
      <c r="A30" s="16" t="s">
        <v>2258</v>
      </c>
      <c r="B30" s="25">
        <v>5</v>
      </c>
      <c r="C30" s="24">
        <v>0.2</v>
      </c>
      <c r="D30" s="25">
        <v>5</v>
      </c>
      <c r="E30" s="24">
        <v>0.2</v>
      </c>
      <c r="F30" s="24">
        <v>0.33436619718309857</v>
      </c>
      <c r="G30" s="25">
        <v>66.635492957746479</v>
      </c>
      <c r="H30" s="25">
        <v>98</v>
      </c>
      <c r="I30" s="25">
        <v>98</v>
      </c>
      <c r="J30" s="25">
        <v>98</v>
      </c>
      <c r="K30" s="24">
        <v>0.2</v>
      </c>
      <c r="L30" s="24">
        <v>0</v>
      </c>
      <c r="M30" s="17" t="s">
        <v>2201</v>
      </c>
      <c r="N30" s="18" t="s">
        <v>2199</v>
      </c>
    </row>
    <row r="31" spans="1:14" ht="25" customHeight="1" x14ac:dyDescent="0.35">
      <c r="A31" s="16" t="s">
        <v>2259</v>
      </c>
      <c r="B31" s="25">
        <v>5</v>
      </c>
      <c r="C31" s="24">
        <v>0.8</v>
      </c>
      <c r="D31" s="25">
        <v>5</v>
      </c>
      <c r="E31" s="24">
        <v>0.8</v>
      </c>
      <c r="F31" s="24">
        <v>0.45436619718309856</v>
      </c>
      <c r="G31" s="25">
        <v>80.395492957746484</v>
      </c>
      <c r="H31" s="25">
        <v>110.5</v>
      </c>
      <c r="I31" s="25">
        <v>117</v>
      </c>
      <c r="J31" s="25">
        <v>186.25</v>
      </c>
      <c r="K31" s="24">
        <v>0.4</v>
      </c>
      <c r="L31" s="24">
        <v>0.4</v>
      </c>
      <c r="M31" s="17" t="s">
        <v>2201</v>
      </c>
      <c r="N31" s="18" t="s">
        <v>2197</v>
      </c>
    </row>
    <row r="32" spans="1:14" ht="25" customHeight="1" x14ac:dyDescent="0.35">
      <c r="A32" s="16" t="s">
        <v>2260</v>
      </c>
      <c r="B32" s="25">
        <v>5</v>
      </c>
      <c r="C32" s="24">
        <v>0.4</v>
      </c>
      <c r="D32" s="25">
        <v>5</v>
      </c>
      <c r="E32" s="24">
        <v>0.4</v>
      </c>
      <c r="F32" s="24">
        <v>0.37436619718309855</v>
      </c>
      <c r="G32" s="25">
        <v>71.075492957746476</v>
      </c>
      <c r="H32" s="25">
        <v>104.5</v>
      </c>
      <c r="I32" s="25">
        <v>104.5</v>
      </c>
      <c r="J32" s="25">
        <v>144.25</v>
      </c>
      <c r="K32" s="24">
        <v>0.2</v>
      </c>
      <c r="L32" s="24">
        <v>0.2</v>
      </c>
      <c r="M32" s="17" t="s">
        <v>2201</v>
      </c>
      <c r="N32" s="18" t="s">
        <v>2199</v>
      </c>
    </row>
    <row r="33" spans="1:14" ht="25" customHeight="1" x14ac:dyDescent="0.35">
      <c r="A33" s="16" t="s">
        <v>1666</v>
      </c>
      <c r="B33" s="25">
        <v>5</v>
      </c>
      <c r="C33" s="24">
        <v>0.2</v>
      </c>
      <c r="D33" s="25">
        <v>5</v>
      </c>
      <c r="E33" s="24">
        <v>0.2</v>
      </c>
      <c r="F33" s="24">
        <v>0.33436619718309857</v>
      </c>
      <c r="G33" s="25">
        <v>63.675492957746485</v>
      </c>
      <c r="H33" s="25">
        <v>24</v>
      </c>
      <c r="I33" s="25">
        <v>24</v>
      </c>
      <c r="J33" s="25">
        <v>24</v>
      </c>
      <c r="K33" s="24">
        <v>0</v>
      </c>
      <c r="L33" s="24">
        <v>0</v>
      </c>
      <c r="M33" s="17" t="s">
        <v>2201</v>
      </c>
      <c r="N33" s="18" t="s">
        <v>2199</v>
      </c>
    </row>
    <row r="34" spans="1:14" ht="25" customHeight="1" x14ac:dyDescent="0.35">
      <c r="A34" s="16" t="s">
        <v>2261</v>
      </c>
      <c r="B34" s="25">
        <v>4</v>
      </c>
      <c r="C34" s="24">
        <v>1</v>
      </c>
      <c r="D34" s="25">
        <v>4</v>
      </c>
      <c r="E34" s="24">
        <v>1</v>
      </c>
      <c r="F34" s="24">
        <v>0.47329812206572769</v>
      </c>
      <c r="G34" s="25">
        <v>143.91197183098592</v>
      </c>
      <c r="H34" s="25">
        <v>471.5</v>
      </c>
      <c r="I34" s="25">
        <v>219</v>
      </c>
      <c r="J34" s="25">
        <v>511</v>
      </c>
      <c r="K34" s="24">
        <v>1</v>
      </c>
      <c r="L34" s="24">
        <v>0.75</v>
      </c>
      <c r="M34" s="17" t="s">
        <v>2202</v>
      </c>
      <c r="N34" s="18" t="s">
        <v>2203</v>
      </c>
    </row>
    <row r="35" spans="1:14" ht="25" customHeight="1" x14ac:dyDescent="0.35">
      <c r="A35" s="16" t="s">
        <v>2262</v>
      </c>
      <c r="B35" s="25">
        <v>4</v>
      </c>
      <c r="C35" s="24">
        <v>0.25</v>
      </c>
      <c r="D35" s="25">
        <v>4</v>
      </c>
      <c r="E35" s="24">
        <v>0.25</v>
      </c>
      <c r="F35" s="24">
        <v>0.34829812206572769</v>
      </c>
      <c r="G35" s="25">
        <v>67.828638497652591</v>
      </c>
      <c r="H35" s="25">
        <v>60</v>
      </c>
      <c r="I35" s="25">
        <v>60</v>
      </c>
      <c r="J35" s="25">
        <v>60</v>
      </c>
      <c r="K35" s="24">
        <v>0</v>
      </c>
      <c r="L35" s="24">
        <v>0</v>
      </c>
      <c r="M35" s="17" t="s">
        <v>2202</v>
      </c>
      <c r="N35" s="18" t="s">
        <v>2203</v>
      </c>
    </row>
    <row r="36" spans="1:14" ht="25" customHeight="1" x14ac:dyDescent="0.35">
      <c r="A36" s="16" t="s">
        <v>1114</v>
      </c>
      <c r="B36" s="25">
        <v>4</v>
      </c>
      <c r="C36" s="24">
        <v>0</v>
      </c>
      <c r="D36" s="25">
        <v>4</v>
      </c>
      <c r="E36" s="24">
        <v>0</v>
      </c>
      <c r="F36" s="24">
        <v>0.30663145539906106</v>
      </c>
      <c r="G36" s="25">
        <v>65.328638497652591</v>
      </c>
      <c r="H36" s="25">
        <v>0</v>
      </c>
      <c r="I36" s="25">
        <v>0</v>
      </c>
      <c r="J36" s="25">
        <v>0</v>
      </c>
      <c r="K36" s="24">
        <v>0</v>
      </c>
      <c r="L36" s="24">
        <v>0</v>
      </c>
      <c r="M36" s="17" t="s">
        <v>2202</v>
      </c>
      <c r="N36" s="18" t="s">
        <v>2203</v>
      </c>
    </row>
    <row r="37" spans="1:14" ht="25" customHeight="1" x14ac:dyDescent="0.35">
      <c r="A37" s="16" t="s">
        <v>2263</v>
      </c>
      <c r="B37" s="25">
        <v>6</v>
      </c>
      <c r="C37" s="24">
        <v>0.5</v>
      </c>
      <c r="D37" s="25">
        <v>4</v>
      </c>
      <c r="E37" s="24">
        <v>0.5</v>
      </c>
      <c r="F37" s="24">
        <v>0.38996478873239432</v>
      </c>
      <c r="G37" s="25">
        <v>90.578638497652591</v>
      </c>
      <c r="H37" s="25">
        <v>303</v>
      </c>
      <c r="I37" s="25">
        <v>303</v>
      </c>
      <c r="J37" s="25">
        <v>356.5</v>
      </c>
      <c r="K37" s="24">
        <v>0.5</v>
      </c>
      <c r="L37" s="24">
        <v>0.5</v>
      </c>
      <c r="M37" s="17" t="s">
        <v>2202</v>
      </c>
      <c r="N37" s="18" t="s">
        <v>2203</v>
      </c>
    </row>
    <row r="38" spans="1:14" ht="25" customHeight="1" x14ac:dyDescent="0.35">
      <c r="A38" s="16" t="s">
        <v>2264</v>
      </c>
      <c r="B38" s="25">
        <v>4</v>
      </c>
      <c r="C38" s="24">
        <v>0.75</v>
      </c>
      <c r="D38" s="25">
        <v>4</v>
      </c>
      <c r="E38" s="24">
        <v>0.75</v>
      </c>
      <c r="F38" s="24">
        <v>0.431631455399061</v>
      </c>
      <c r="G38" s="25">
        <v>114.37030516431925</v>
      </c>
      <c r="H38" s="25">
        <v>392.33333333333331</v>
      </c>
      <c r="I38" s="25">
        <v>402</v>
      </c>
      <c r="J38" s="25">
        <v>483</v>
      </c>
      <c r="K38" s="24">
        <v>0.75</v>
      </c>
      <c r="L38" s="24">
        <v>0.75</v>
      </c>
      <c r="M38" s="17" t="s">
        <v>2202</v>
      </c>
      <c r="N38" s="18" t="s">
        <v>2203</v>
      </c>
    </row>
    <row r="39" spans="1:14" ht="25" customHeight="1" x14ac:dyDescent="0.35">
      <c r="A39" s="16" t="s">
        <v>2265</v>
      </c>
      <c r="B39" s="25">
        <v>5</v>
      </c>
      <c r="C39" s="24">
        <v>0.2</v>
      </c>
      <c r="D39" s="25">
        <v>4</v>
      </c>
      <c r="E39" s="24">
        <v>0.25</v>
      </c>
      <c r="F39" s="24">
        <v>0.34829812206572769</v>
      </c>
      <c r="G39" s="25">
        <v>72.453638497652591</v>
      </c>
      <c r="H39" s="25">
        <v>171</v>
      </c>
      <c r="I39" s="25">
        <v>171</v>
      </c>
      <c r="J39" s="25">
        <v>171</v>
      </c>
      <c r="K39" s="24">
        <v>0.25</v>
      </c>
      <c r="L39" s="24">
        <v>0</v>
      </c>
      <c r="M39" s="17" t="s">
        <v>2202</v>
      </c>
      <c r="N39" s="18" t="s">
        <v>2203</v>
      </c>
    </row>
    <row r="40" spans="1:14" ht="25" customHeight="1" x14ac:dyDescent="0.35">
      <c r="A40" s="16" t="s">
        <v>2266</v>
      </c>
      <c r="B40" s="25">
        <v>6</v>
      </c>
      <c r="C40" s="24">
        <v>0.33333333333333331</v>
      </c>
      <c r="D40" s="25">
        <v>4</v>
      </c>
      <c r="E40" s="24">
        <v>0.25</v>
      </c>
      <c r="F40" s="24">
        <v>0.34829812206572769</v>
      </c>
      <c r="G40" s="25">
        <v>66.828638497652591</v>
      </c>
      <c r="H40" s="25">
        <v>36</v>
      </c>
      <c r="I40" s="25">
        <v>36</v>
      </c>
      <c r="J40" s="25">
        <v>36</v>
      </c>
      <c r="K40" s="24">
        <v>0</v>
      </c>
      <c r="L40" s="24">
        <v>0</v>
      </c>
      <c r="M40" s="17" t="s">
        <v>2202</v>
      </c>
      <c r="N40" s="18" t="s">
        <v>2203</v>
      </c>
    </row>
    <row r="41" spans="1:14" ht="25" customHeight="1" x14ac:dyDescent="0.35">
      <c r="A41" s="16" t="s">
        <v>2267</v>
      </c>
      <c r="B41" s="25">
        <v>4</v>
      </c>
      <c r="C41" s="24">
        <v>0</v>
      </c>
      <c r="D41" s="25">
        <v>4</v>
      </c>
      <c r="E41" s="24">
        <v>0</v>
      </c>
      <c r="F41" s="24">
        <v>0.30663145539906106</v>
      </c>
      <c r="G41" s="25">
        <v>65.328638497652591</v>
      </c>
      <c r="H41" s="25">
        <v>0</v>
      </c>
      <c r="I41" s="25">
        <v>0</v>
      </c>
      <c r="J41" s="25">
        <v>0</v>
      </c>
      <c r="K41" s="24">
        <v>0</v>
      </c>
      <c r="L41" s="24">
        <v>0</v>
      </c>
      <c r="M41" s="17" t="s">
        <v>2202</v>
      </c>
      <c r="N41" s="18" t="s">
        <v>2203</v>
      </c>
    </row>
    <row r="42" spans="1:14" ht="25" customHeight="1" x14ac:dyDescent="0.35">
      <c r="A42" s="16" t="s">
        <v>2268</v>
      </c>
      <c r="B42" s="25">
        <v>4</v>
      </c>
      <c r="C42" s="24">
        <v>0.25</v>
      </c>
      <c r="D42" s="25">
        <v>4</v>
      </c>
      <c r="E42" s="24">
        <v>0.25</v>
      </c>
      <c r="F42" s="24">
        <v>0.34829812206572769</v>
      </c>
      <c r="G42" s="25">
        <v>81.786971830985919</v>
      </c>
      <c r="H42" s="25">
        <v>395</v>
      </c>
      <c r="I42" s="25">
        <v>395</v>
      </c>
      <c r="J42" s="25">
        <v>395</v>
      </c>
      <c r="K42" s="24">
        <v>0.25</v>
      </c>
      <c r="L42" s="24">
        <v>0.25</v>
      </c>
      <c r="M42" s="17" t="s">
        <v>2202</v>
      </c>
      <c r="N42" s="18" t="s">
        <v>2203</v>
      </c>
    </row>
    <row r="43" spans="1:14" ht="25" customHeight="1" x14ac:dyDescent="0.35">
      <c r="A43" s="16" t="s">
        <v>2269</v>
      </c>
      <c r="B43" s="25">
        <v>4</v>
      </c>
      <c r="C43" s="24">
        <v>0.25</v>
      </c>
      <c r="D43" s="25">
        <v>4</v>
      </c>
      <c r="E43" s="24">
        <v>0.25</v>
      </c>
      <c r="F43" s="24">
        <v>0.34829812206572769</v>
      </c>
      <c r="G43" s="25">
        <v>66.661971830985919</v>
      </c>
      <c r="H43" s="25">
        <v>32</v>
      </c>
      <c r="I43" s="25">
        <v>32</v>
      </c>
      <c r="J43" s="25">
        <v>32</v>
      </c>
      <c r="K43" s="24">
        <v>0</v>
      </c>
      <c r="L43" s="24">
        <v>0</v>
      </c>
      <c r="M43" s="17" t="s">
        <v>2202</v>
      </c>
      <c r="N43" s="18" t="s">
        <v>2203</v>
      </c>
    </row>
    <row r="44" spans="1:14" ht="25" customHeight="1" x14ac:dyDescent="0.35">
      <c r="A44" s="16" t="s">
        <v>701</v>
      </c>
      <c r="B44" s="25">
        <v>3</v>
      </c>
      <c r="C44" s="24">
        <v>0.33333333333333331</v>
      </c>
      <c r="D44" s="25">
        <v>3</v>
      </c>
      <c r="E44" s="24">
        <v>0.33333333333333331</v>
      </c>
      <c r="F44" s="24">
        <v>0.36344151867728103</v>
      </c>
      <c r="G44" s="25">
        <v>71.777709736680961</v>
      </c>
      <c r="H44" s="25">
        <v>83</v>
      </c>
      <c r="I44" s="25">
        <v>83</v>
      </c>
      <c r="J44" s="25">
        <v>83</v>
      </c>
      <c r="K44" s="24">
        <v>0</v>
      </c>
      <c r="L44" s="24">
        <v>0</v>
      </c>
      <c r="M44" s="17" t="s">
        <v>2202</v>
      </c>
      <c r="N44" s="18" t="s">
        <v>2203</v>
      </c>
    </row>
    <row r="45" spans="1:14" ht="25" customHeight="1" x14ac:dyDescent="0.35">
      <c r="A45" s="16" t="s">
        <v>2270</v>
      </c>
      <c r="B45" s="25">
        <v>3</v>
      </c>
      <c r="C45" s="24">
        <v>0.66666666666666663</v>
      </c>
      <c r="D45" s="25">
        <v>3</v>
      </c>
      <c r="E45" s="24">
        <v>0.66666666666666663</v>
      </c>
      <c r="F45" s="24">
        <v>0.40691977954684627</v>
      </c>
      <c r="G45" s="25">
        <v>86.342927127985305</v>
      </c>
      <c r="H45" s="25">
        <v>209</v>
      </c>
      <c r="I45" s="25">
        <v>209</v>
      </c>
      <c r="J45" s="25">
        <v>219</v>
      </c>
      <c r="K45" s="24">
        <v>0.66666666666666663</v>
      </c>
      <c r="L45" s="24">
        <v>0.66666666666666663</v>
      </c>
      <c r="M45" s="17" t="s">
        <v>2202</v>
      </c>
      <c r="N45" s="18" t="s">
        <v>2203</v>
      </c>
    </row>
    <row r="46" spans="1:14" ht="25" customHeight="1" x14ac:dyDescent="0.35">
      <c r="A46" s="16" t="s">
        <v>2271</v>
      </c>
      <c r="B46" s="25">
        <v>3</v>
      </c>
      <c r="C46" s="24">
        <v>0</v>
      </c>
      <c r="D46" s="25">
        <v>3</v>
      </c>
      <c r="E46" s="24">
        <v>0</v>
      </c>
      <c r="F46" s="24">
        <v>0.3199632578077159</v>
      </c>
      <c r="G46" s="25">
        <v>68.16901408450704</v>
      </c>
      <c r="H46" s="25">
        <v>0</v>
      </c>
      <c r="I46" s="25">
        <v>0</v>
      </c>
      <c r="J46" s="25">
        <v>0</v>
      </c>
      <c r="K46" s="24">
        <v>0</v>
      </c>
      <c r="L46" s="24">
        <v>0</v>
      </c>
      <c r="M46" s="17" t="s">
        <v>2202</v>
      </c>
      <c r="N46" s="18" t="s">
        <v>2203</v>
      </c>
    </row>
    <row r="47" spans="1:14" ht="25" customHeight="1" x14ac:dyDescent="0.35">
      <c r="A47" s="16" t="s">
        <v>259</v>
      </c>
      <c r="B47" s="25">
        <v>3</v>
      </c>
      <c r="C47" s="24">
        <v>0.33333333333333331</v>
      </c>
      <c r="D47" s="25">
        <v>3</v>
      </c>
      <c r="E47" s="24">
        <v>0.33333333333333331</v>
      </c>
      <c r="F47" s="24">
        <v>0.36344151867728103</v>
      </c>
      <c r="G47" s="25">
        <v>71.342927127985305</v>
      </c>
      <c r="H47" s="25">
        <v>73</v>
      </c>
      <c r="I47" s="25">
        <v>73</v>
      </c>
      <c r="J47" s="25">
        <v>73</v>
      </c>
      <c r="K47" s="24">
        <v>0</v>
      </c>
      <c r="L47" s="24">
        <v>0</v>
      </c>
      <c r="M47" s="17" t="s">
        <v>2202</v>
      </c>
      <c r="N47" s="18" t="s">
        <v>2203</v>
      </c>
    </row>
    <row r="48" spans="1:14" ht="25" customHeight="1" x14ac:dyDescent="0.35">
      <c r="A48" s="16" t="s">
        <v>2272</v>
      </c>
      <c r="B48" s="25">
        <v>3</v>
      </c>
      <c r="C48" s="24">
        <v>0.33333333333333331</v>
      </c>
      <c r="D48" s="25">
        <v>3</v>
      </c>
      <c r="E48" s="24">
        <v>0.33333333333333331</v>
      </c>
      <c r="F48" s="24">
        <v>0.36344151867728103</v>
      </c>
      <c r="G48" s="25">
        <v>76.386405388854868</v>
      </c>
      <c r="H48" s="25">
        <v>189</v>
      </c>
      <c r="I48" s="25">
        <v>189</v>
      </c>
      <c r="J48" s="25">
        <v>189</v>
      </c>
      <c r="K48" s="24">
        <v>0.33333333333333331</v>
      </c>
      <c r="L48" s="24">
        <v>0.33333333333333331</v>
      </c>
      <c r="M48" s="17" t="s">
        <v>2202</v>
      </c>
      <c r="N48" s="18" t="s">
        <v>2203</v>
      </c>
    </row>
    <row r="49" spans="1:14" ht="25" customHeight="1" x14ac:dyDescent="0.35">
      <c r="A49" s="16" t="s">
        <v>2273</v>
      </c>
      <c r="B49" s="25">
        <v>3</v>
      </c>
      <c r="C49" s="24">
        <v>0.33333333333333331</v>
      </c>
      <c r="D49" s="25">
        <v>3</v>
      </c>
      <c r="E49" s="24">
        <v>0.33333333333333331</v>
      </c>
      <c r="F49" s="24">
        <v>0.36344151867728103</v>
      </c>
      <c r="G49" s="25">
        <v>74.821187997550524</v>
      </c>
      <c r="H49" s="25">
        <v>153</v>
      </c>
      <c r="I49" s="25">
        <v>153</v>
      </c>
      <c r="J49" s="25">
        <v>153</v>
      </c>
      <c r="K49" s="24">
        <v>0.33333333333333331</v>
      </c>
      <c r="L49" s="24">
        <v>0</v>
      </c>
      <c r="M49" s="17" t="s">
        <v>2202</v>
      </c>
      <c r="N49" s="18" t="s">
        <v>2203</v>
      </c>
    </row>
    <row r="50" spans="1:14" ht="25" customHeight="1" x14ac:dyDescent="0.35">
      <c r="A50" s="16" t="s">
        <v>908</v>
      </c>
      <c r="B50" s="25">
        <v>3</v>
      </c>
      <c r="C50" s="24">
        <v>0.33333333333333331</v>
      </c>
      <c r="D50" s="25">
        <v>3</v>
      </c>
      <c r="E50" s="24">
        <v>0.33333333333333331</v>
      </c>
      <c r="F50" s="24">
        <v>0.36344151867728103</v>
      </c>
      <c r="G50" s="25">
        <v>70.429883649724431</v>
      </c>
      <c r="H50" s="25">
        <v>52</v>
      </c>
      <c r="I50" s="25">
        <v>52</v>
      </c>
      <c r="J50" s="25">
        <v>52</v>
      </c>
      <c r="K50" s="24">
        <v>0</v>
      </c>
      <c r="L50" s="24">
        <v>0</v>
      </c>
      <c r="M50" s="17" t="s">
        <v>2202</v>
      </c>
      <c r="N50" s="18" t="s">
        <v>2203</v>
      </c>
    </row>
    <row r="51" spans="1:14" ht="25" customHeight="1" x14ac:dyDescent="0.35">
      <c r="A51" s="16" t="s">
        <v>2274</v>
      </c>
      <c r="B51" s="25">
        <v>3</v>
      </c>
      <c r="C51" s="24">
        <v>1</v>
      </c>
      <c r="D51" s="25">
        <v>3</v>
      </c>
      <c r="E51" s="24">
        <v>1</v>
      </c>
      <c r="F51" s="24">
        <v>0.45039804041641146</v>
      </c>
      <c r="G51" s="25">
        <v>108.90814451928965</v>
      </c>
      <c r="H51" s="25">
        <v>312.33333333333331</v>
      </c>
      <c r="I51" s="25">
        <v>273</v>
      </c>
      <c r="J51" s="25">
        <v>341.5</v>
      </c>
      <c r="K51" s="24">
        <v>1</v>
      </c>
      <c r="L51" s="24">
        <v>1</v>
      </c>
      <c r="M51" s="17" t="s">
        <v>2202</v>
      </c>
      <c r="N51" s="18" t="s">
        <v>2203</v>
      </c>
    </row>
    <row r="52" spans="1:14" ht="25" customHeight="1" x14ac:dyDescent="0.35">
      <c r="A52" s="16" t="s">
        <v>2275</v>
      </c>
      <c r="B52" s="25">
        <v>2</v>
      </c>
      <c r="C52" s="24">
        <v>0.5</v>
      </c>
      <c r="D52" s="25">
        <v>2</v>
      </c>
      <c r="E52" s="24">
        <v>0.5</v>
      </c>
      <c r="F52" s="24">
        <v>0.37996158770806654</v>
      </c>
      <c r="G52" s="25">
        <v>73.313060179257363</v>
      </c>
      <c r="H52" s="25">
        <v>45</v>
      </c>
      <c r="I52" s="25">
        <v>45</v>
      </c>
      <c r="J52" s="25">
        <v>45</v>
      </c>
      <c r="K52" s="24">
        <v>0</v>
      </c>
      <c r="L52" s="24">
        <v>0</v>
      </c>
      <c r="M52" s="17" t="s">
        <v>2202</v>
      </c>
      <c r="N52" s="18" t="s">
        <v>2203</v>
      </c>
    </row>
    <row r="53" spans="1:14" ht="25" customHeight="1" x14ac:dyDescent="0.35">
      <c r="A53" s="16" t="s">
        <v>2276</v>
      </c>
      <c r="B53" s="25">
        <v>4</v>
      </c>
      <c r="C53" s="24">
        <v>0.75</v>
      </c>
      <c r="D53" s="25">
        <v>2</v>
      </c>
      <c r="E53" s="24">
        <v>1</v>
      </c>
      <c r="F53" s="24">
        <v>0.42541613316261201</v>
      </c>
      <c r="G53" s="25">
        <v>96.85851472471191</v>
      </c>
      <c r="H53" s="25">
        <v>281.5</v>
      </c>
      <c r="I53" s="25">
        <v>281.5</v>
      </c>
      <c r="J53" s="25">
        <v>407.25</v>
      </c>
      <c r="K53" s="24">
        <v>0.5</v>
      </c>
      <c r="L53" s="24">
        <v>0.5</v>
      </c>
      <c r="M53" s="17" t="s">
        <v>2202</v>
      </c>
      <c r="N53" s="18" t="s">
        <v>2203</v>
      </c>
    </row>
    <row r="54" spans="1:14" ht="25" customHeight="1" x14ac:dyDescent="0.35">
      <c r="A54" s="16" t="s">
        <v>363</v>
      </c>
      <c r="B54" s="25">
        <v>2</v>
      </c>
      <c r="C54" s="24">
        <v>0</v>
      </c>
      <c r="D54" s="25">
        <v>2</v>
      </c>
      <c r="E54" s="24">
        <v>0</v>
      </c>
      <c r="F54" s="24">
        <v>0.33450704225352113</v>
      </c>
      <c r="G54" s="25">
        <v>71.267605633802816</v>
      </c>
      <c r="H54" s="25">
        <v>0</v>
      </c>
      <c r="I54" s="25">
        <v>0</v>
      </c>
      <c r="J54" s="25">
        <v>0</v>
      </c>
      <c r="K54" s="24">
        <v>0</v>
      </c>
      <c r="L54" s="24">
        <v>0</v>
      </c>
      <c r="M54" s="17" t="s">
        <v>2202</v>
      </c>
      <c r="N54" s="18" t="s">
        <v>2203</v>
      </c>
    </row>
    <row r="55" spans="1:14" ht="25" customHeight="1" x14ac:dyDescent="0.35">
      <c r="A55" s="16" t="s">
        <v>2277</v>
      </c>
      <c r="B55" s="25">
        <v>2</v>
      </c>
      <c r="C55" s="24">
        <v>0.5</v>
      </c>
      <c r="D55" s="25">
        <v>2</v>
      </c>
      <c r="E55" s="24">
        <v>0.5</v>
      </c>
      <c r="F55" s="24">
        <v>0.37996158770806654</v>
      </c>
      <c r="G55" s="25">
        <v>71.85851472471191</v>
      </c>
      <c r="H55" s="25">
        <v>13</v>
      </c>
      <c r="I55" s="25">
        <v>13</v>
      </c>
      <c r="J55" s="25">
        <v>13</v>
      </c>
      <c r="K55" s="24">
        <v>0</v>
      </c>
      <c r="L55" s="24">
        <v>0</v>
      </c>
      <c r="M55" s="17" t="s">
        <v>2202</v>
      </c>
      <c r="N55" s="18" t="s">
        <v>2203</v>
      </c>
    </row>
    <row r="56" spans="1:14" ht="25" customHeight="1" x14ac:dyDescent="0.35">
      <c r="A56" s="16" t="s">
        <v>1239</v>
      </c>
      <c r="B56" s="25">
        <v>4</v>
      </c>
      <c r="C56" s="24">
        <v>0.5</v>
      </c>
      <c r="D56" s="25">
        <v>2</v>
      </c>
      <c r="E56" s="24">
        <v>0.5</v>
      </c>
      <c r="F56" s="24">
        <v>0.37996158770806654</v>
      </c>
      <c r="G56" s="25">
        <v>71.63124199743919</v>
      </c>
      <c r="H56" s="25">
        <v>8</v>
      </c>
      <c r="I56" s="25">
        <v>8</v>
      </c>
      <c r="J56" s="25">
        <v>8</v>
      </c>
      <c r="K56" s="24">
        <v>0</v>
      </c>
      <c r="L56" s="24">
        <v>0</v>
      </c>
      <c r="M56" s="17" t="s">
        <v>2202</v>
      </c>
      <c r="N56" s="18" t="s">
        <v>2203</v>
      </c>
    </row>
    <row r="57" spans="1:14" ht="25" customHeight="1" x14ac:dyDescent="0.35">
      <c r="A57" s="16" t="s">
        <v>1000</v>
      </c>
      <c r="B57" s="25">
        <v>3</v>
      </c>
      <c r="C57" s="24">
        <v>0</v>
      </c>
      <c r="D57" s="25">
        <v>2</v>
      </c>
      <c r="E57" s="24">
        <v>0</v>
      </c>
      <c r="F57" s="24">
        <v>0.33450704225352113</v>
      </c>
      <c r="G57" s="25">
        <v>71.267605633802816</v>
      </c>
      <c r="H57" s="25">
        <v>0</v>
      </c>
      <c r="I57" s="25">
        <v>0</v>
      </c>
      <c r="J57" s="25">
        <v>0</v>
      </c>
      <c r="K57" s="24">
        <v>0</v>
      </c>
      <c r="L57" s="24">
        <v>0</v>
      </c>
      <c r="M57" s="17" t="s">
        <v>2202</v>
      </c>
      <c r="N57" s="18" t="s">
        <v>2203</v>
      </c>
    </row>
    <row r="58" spans="1:14" ht="25" customHeight="1" x14ac:dyDescent="0.35">
      <c r="A58" s="16" t="s">
        <v>2278</v>
      </c>
      <c r="B58" s="25">
        <v>2</v>
      </c>
      <c r="C58" s="24">
        <v>0.5</v>
      </c>
      <c r="D58" s="25">
        <v>2</v>
      </c>
      <c r="E58" s="24">
        <v>0.5</v>
      </c>
      <c r="F58" s="24">
        <v>0.37996158770806654</v>
      </c>
      <c r="G58" s="25">
        <v>80.85851472471191</v>
      </c>
      <c r="H58" s="25">
        <v>211</v>
      </c>
      <c r="I58" s="25">
        <v>211</v>
      </c>
      <c r="J58" s="25">
        <v>211</v>
      </c>
      <c r="K58" s="24">
        <v>0.5</v>
      </c>
      <c r="L58" s="24">
        <v>0.5</v>
      </c>
      <c r="M58" s="17" t="s">
        <v>2202</v>
      </c>
      <c r="N58" s="18" t="s">
        <v>2203</v>
      </c>
    </row>
    <row r="59" spans="1:14" ht="25" customHeight="1" x14ac:dyDescent="0.35">
      <c r="A59" s="16" t="s">
        <v>22</v>
      </c>
      <c r="B59" s="25">
        <v>3</v>
      </c>
      <c r="C59" s="24">
        <v>0</v>
      </c>
      <c r="D59" s="25">
        <v>2</v>
      </c>
      <c r="E59" s="24">
        <v>0</v>
      </c>
      <c r="F59" s="24">
        <v>0.33450704225352113</v>
      </c>
      <c r="G59" s="25">
        <v>71.267605633802816</v>
      </c>
      <c r="H59" s="25">
        <v>0</v>
      </c>
      <c r="I59" s="25">
        <v>0</v>
      </c>
      <c r="J59" s="25">
        <v>0</v>
      </c>
      <c r="K59" s="24">
        <v>0</v>
      </c>
      <c r="L59" s="24">
        <v>0</v>
      </c>
      <c r="M59" s="17" t="s">
        <v>2202</v>
      </c>
      <c r="N59" s="18" t="s">
        <v>2203</v>
      </c>
    </row>
    <row r="60" spans="1:14" ht="25" customHeight="1" x14ac:dyDescent="0.35">
      <c r="A60" s="16" t="s">
        <v>1148</v>
      </c>
      <c r="B60" s="25">
        <v>2</v>
      </c>
      <c r="C60" s="24">
        <v>0.5</v>
      </c>
      <c r="D60" s="25">
        <v>2</v>
      </c>
      <c r="E60" s="24">
        <v>0.5</v>
      </c>
      <c r="F60" s="24">
        <v>0.37996158770806654</v>
      </c>
      <c r="G60" s="25">
        <v>82.813060179257363</v>
      </c>
      <c r="H60" s="25">
        <v>254</v>
      </c>
      <c r="I60" s="25">
        <v>254</v>
      </c>
      <c r="J60" s="25">
        <v>254</v>
      </c>
      <c r="K60" s="24">
        <v>0.5</v>
      </c>
      <c r="L60" s="24">
        <v>0.5</v>
      </c>
      <c r="M60" s="17" t="s">
        <v>2202</v>
      </c>
      <c r="N60" s="18" t="s">
        <v>2203</v>
      </c>
    </row>
    <row r="61" spans="1:14" ht="25" customHeight="1" x14ac:dyDescent="0.35">
      <c r="A61" s="16" t="s">
        <v>2279</v>
      </c>
      <c r="B61" s="25">
        <v>2</v>
      </c>
      <c r="C61" s="24">
        <v>0.5</v>
      </c>
      <c r="D61" s="25">
        <v>2</v>
      </c>
      <c r="E61" s="24">
        <v>0.5</v>
      </c>
      <c r="F61" s="24">
        <v>0.37996158770806654</v>
      </c>
      <c r="G61" s="25">
        <v>72.903969270166456</v>
      </c>
      <c r="H61" s="25">
        <v>36</v>
      </c>
      <c r="I61" s="25">
        <v>36</v>
      </c>
      <c r="J61" s="25">
        <v>36</v>
      </c>
      <c r="K61" s="24">
        <v>0</v>
      </c>
      <c r="L61" s="24">
        <v>0</v>
      </c>
      <c r="M61" s="17" t="s">
        <v>2202</v>
      </c>
      <c r="N61" s="18" t="s">
        <v>2203</v>
      </c>
    </row>
    <row r="62" spans="1:14" ht="25" customHeight="1" x14ac:dyDescent="0.35">
      <c r="A62" s="16" t="s">
        <v>2280</v>
      </c>
      <c r="B62" s="25">
        <v>3</v>
      </c>
      <c r="C62" s="24">
        <v>0</v>
      </c>
      <c r="D62" s="25">
        <v>2</v>
      </c>
      <c r="E62" s="24">
        <v>0</v>
      </c>
      <c r="F62" s="24">
        <v>0.33450704225352113</v>
      </c>
      <c r="G62" s="25">
        <v>71.267605633802816</v>
      </c>
      <c r="H62" s="25">
        <v>0</v>
      </c>
      <c r="I62" s="25">
        <v>0</v>
      </c>
      <c r="J62" s="25">
        <v>0</v>
      </c>
      <c r="K62" s="24">
        <v>0</v>
      </c>
      <c r="L62" s="24">
        <v>0</v>
      </c>
      <c r="M62" s="17" t="s">
        <v>2202</v>
      </c>
      <c r="N62" s="18" t="s">
        <v>2203</v>
      </c>
    </row>
    <row r="63" spans="1:14" ht="25" customHeight="1" x14ac:dyDescent="0.35">
      <c r="A63" s="16" t="s">
        <v>2281</v>
      </c>
      <c r="B63" s="25">
        <v>3</v>
      </c>
      <c r="C63" s="24">
        <v>0.66666666666666663</v>
      </c>
      <c r="D63" s="25">
        <v>2</v>
      </c>
      <c r="E63" s="24">
        <v>0.5</v>
      </c>
      <c r="F63" s="24">
        <v>0.37996158770806654</v>
      </c>
      <c r="G63" s="25">
        <v>79.85851472471191</v>
      </c>
      <c r="H63" s="25">
        <v>189</v>
      </c>
      <c r="I63" s="25">
        <v>189</v>
      </c>
      <c r="J63" s="25">
        <v>189</v>
      </c>
      <c r="K63" s="24">
        <v>0.5</v>
      </c>
      <c r="L63" s="24">
        <v>0.5</v>
      </c>
      <c r="M63" s="17" t="s">
        <v>2202</v>
      </c>
      <c r="N63" s="18" t="s">
        <v>2203</v>
      </c>
    </row>
    <row r="64" spans="1:14" ht="25" customHeight="1" x14ac:dyDescent="0.35">
      <c r="A64" s="16" t="s">
        <v>2282</v>
      </c>
      <c r="B64" s="25">
        <v>2</v>
      </c>
      <c r="C64" s="24">
        <v>0</v>
      </c>
      <c r="D64" s="25">
        <v>2</v>
      </c>
      <c r="E64" s="24">
        <v>0</v>
      </c>
      <c r="F64" s="24">
        <v>0.33450704225352113</v>
      </c>
      <c r="G64" s="25">
        <v>71.267605633802816</v>
      </c>
      <c r="H64" s="25">
        <v>0</v>
      </c>
      <c r="I64" s="25">
        <v>0</v>
      </c>
      <c r="J64" s="25">
        <v>0</v>
      </c>
      <c r="K64" s="24">
        <v>0</v>
      </c>
      <c r="L64" s="24">
        <v>0</v>
      </c>
      <c r="M64" s="17" t="s">
        <v>2202</v>
      </c>
      <c r="N64" s="18" t="s">
        <v>2203</v>
      </c>
    </row>
    <row r="65" spans="1:14" ht="25" customHeight="1" x14ac:dyDescent="0.35">
      <c r="A65" s="16" t="s">
        <v>810</v>
      </c>
      <c r="B65" s="25">
        <v>2</v>
      </c>
      <c r="C65" s="24">
        <v>0</v>
      </c>
      <c r="D65" s="25">
        <v>2</v>
      </c>
      <c r="E65" s="24">
        <v>0</v>
      </c>
      <c r="F65" s="24">
        <v>0.33450704225352113</v>
      </c>
      <c r="G65" s="25">
        <v>71.267605633802816</v>
      </c>
      <c r="H65" s="25">
        <v>0</v>
      </c>
      <c r="I65" s="25">
        <v>0</v>
      </c>
      <c r="J65" s="25">
        <v>0</v>
      </c>
      <c r="K65" s="24">
        <v>0</v>
      </c>
      <c r="L65" s="24">
        <v>0</v>
      </c>
      <c r="M65" s="17" t="s">
        <v>2202</v>
      </c>
      <c r="N65" s="18" t="s">
        <v>2203</v>
      </c>
    </row>
    <row r="66" spans="1:14" ht="25" customHeight="1" x14ac:dyDescent="0.35">
      <c r="A66" s="16" t="s">
        <v>1351</v>
      </c>
      <c r="B66" s="25">
        <v>2</v>
      </c>
      <c r="C66" s="24">
        <v>0</v>
      </c>
      <c r="D66" s="25">
        <v>2</v>
      </c>
      <c r="E66" s="24">
        <v>0</v>
      </c>
      <c r="F66" s="24">
        <v>0.33450704225352113</v>
      </c>
      <c r="G66" s="25">
        <v>71.267605633802816</v>
      </c>
      <c r="H66" s="25">
        <v>0</v>
      </c>
      <c r="I66" s="25">
        <v>0</v>
      </c>
      <c r="J66" s="25">
        <v>0</v>
      </c>
      <c r="K66" s="24">
        <v>0</v>
      </c>
      <c r="L66" s="24">
        <v>0</v>
      </c>
      <c r="M66" s="17" t="s">
        <v>2202</v>
      </c>
      <c r="N66" s="18" t="s">
        <v>2203</v>
      </c>
    </row>
    <row r="67" spans="1:14" ht="25" customHeight="1" x14ac:dyDescent="0.35">
      <c r="A67" s="16" t="s">
        <v>2283</v>
      </c>
      <c r="B67" s="25">
        <v>2</v>
      </c>
      <c r="C67" s="24">
        <v>0</v>
      </c>
      <c r="D67" s="25">
        <v>2</v>
      </c>
      <c r="E67" s="24">
        <v>0</v>
      </c>
      <c r="F67" s="24">
        <v>0.33450704225352113</v>
      </c>
      <c r="G67" s="25">
        <v>71.267605633802816</v>
      </c>
      <c r="H67" s="25">
        <v>0</v>
      </c>
      <c r="I67" s="25">
        <v>0</v>
      </c>
      <c r="J67" s="25">
        <v>0</v>
      </c>
      <c r="K67" s="24">
        <v>0</v>
      </c>
      <c r="L67" s="24">
        <v>0</v>
      </c>
      <c r="M67" s="17" t="s">
        <v>2202</v>
      </c>
      <c r="N67" s="18" t="s">
        <v>2203</v>
      </c>
    </row>
    <row r="68" spans="1:14" ht="25" customHeight="1" x14ac:dyDescent="0.35">
      <c r="A68" s="16" t="s">
        <v>648</v>
      </c>
      <c r="B68" s="25">
        <v>2</v>
      </c>
      <c r="C68" s="24">
        <v>0</v>
      </c>
      <c r="D68" s="25">
        <v>2</v>
      </c>
      <c r="E68" s="24">
        <v>0</v>
      </c>
      <c r="F68" s="24">
        <v>0.33450704225352113</v>
      </c>
      <c r="G68" s="25">
        <v>71.267605633802816</v>
      </c>
      <c r="H68" s="25">
        <v>0</v>
      </c>
      <c r="I68" s="25">
        <v>0</v>
      </c>
      <c r="J68" s="25">
        <v>0</v>
      </c>
      <c r="K68" s="24">
        <v>0</v>
      </c>
      <c r="L68" s="24">
        <v>0</v>
      </c>
      <c r="M68" s="17" t="s">
        <v>2202</v>
      </c>
      <c r="N68" s="18" t="s">
        <v>2203</v>
      </c>
    </row>
    <row r="69" spans="1:14" ht="25" customHeight="1" x14ac:dyDescent="0.35">
      <c r="A69" s="16" t="s">
        <v>2284</v>
      </c>
      <c r="B69" s="25">
        <v>2</v>
      </c>
      <c r="C69" s="24">
        <v>1</v>
      </c>
      <c r="D69" s="25">
        <v>2</v>
      </c>
      <c r="E69" s="24">
        <v>1</v>
      </c>
      <c r="F69" s="24">
        <v>0.42541613316261201</v>
      </c>
      <c r="G69" s="25">
        <v>85.722151088348269</v>
      </c>
      <c r="H69" s="25">
        <v>159</v>
      </c>
      <c r="I69" s="25">
        <v>159</v>
      </c>
      <c r="J69" s="25">
        <v>171.5</v>
      </c>
      <c r="K69" s="24">
        <v>1</v>
      </c>
      <c r="L69" s="24">
        <v>0.5</v>
      </c>
      <c r="M69" s="17" t="s">
        <v>2202</v>
      </c>
      <c r="N69" s="18" t="s">
        <v>2203</v>
      </c>
    </row>
    <row r="70" spans="1:14" ht="25" customHeight="1" x14ac:dyDescent="0.35">
      <c r="A70" s="16" t="s">
        <v>2285</v>
      </c>
      <c r="B70" s="25">
        <v>2</v>
      </c>
      <c r="C70" s="24">
        <v>0</v>
      </c>
      <c r="D70" s="25">
        <v>2</v>
      </c>
      <c r="E70" s="24">
        <v>0</v>
      </c>
      <c r="F70" s="24">
        <v>0.33450704225352113</v>
      </c>
      <c r="G70" s="25">
        <v>71.267605633802816</v>
      </c>
      <c r="H70" s="25">
        <v>0</v>
      </c>
      <c r="I70" s="25">
        <v>0</v>
      </c>
      <c r="J70" s="25">
        <v>0</v>
      </c>
      <c r="K70" s="24">
        <v>0</v>
      </c>
      <c r="L70" s="24">
        <v>0</v>
      </c>
      <c r="M70" s="17" t="s">
        <v>2202</v>
      </c>
      <c r="N70" s="18" t="s">
        <v>2203</v>
      </c>
    </row>
    <row r="71" spans="1:14" ht="25" customHeight="1" x14ac:dyDescent="0.35">
      <c r="A71" s="16" t="s">
        <v>2286</v>
      </c>
      <c r="B71" s="25">
        <v>2</v>
      </c>
      <c r="C71" s="24">
        <v>0.5</v>
      </c>
      <c r="D71" s="25">
        <v>2</v>
      </c>
      <c r="E71" s="24">
        <v>0.5</v>
      </c>
      <c r="F71" s="24">
        <v>0.37996158770806654</v>
      </c>
      <c r="G71" s="25">
        <v>81.449423815621003</v>
      </c>
      <c r="H71" s="25">
        <v>224</v>
      </c>
      <c r="I71" s="25">
        <v>224</v>
      </c>
      <c r="J71" s="25">
        <v>224</v>
      </c>
      <c r="K71" s="24">
        <v>0.5</v>
      </c>
      <c r="L71" s="24">
        <v>0.5</v>
      </c>
      <c r="M71" s="17" t="s">
        <v>2202</v>
      </c>
      <c r="N71" s="18" t="s">
        <v>2203</v>
      </c>
    </row>
    <row r="72" spans="1:14" ht="25" customHeight="1" x14ac:dyDescent="0.35">
      <c r="A72" s="16" t="s">
        <v>2287</v>
      </c>
      <c r="B72" s="25">
        <v>2</v>
      </c>
      <c r="C72" s="24">
        <v>1</v>
      </c>
      <c r="D72" s="25">
        <v>2</v>
      </c>
      <c r="E72" s="24">
        <v>1</v>
      </c>
      <c r="F72" s="24">
        <v>0.42541613316261201</v>
      </c>
      <c r="G72" s="25">
        <v>81.903969270166456</v>
      </c>
      <c r="H72" s="25">
        <v>117</v>
      </c>
      <c r="I72" s="25">
        <v>117</v>
      </c>
      <c r="J72" s="25">
        <v>150</v>
      </c>
      <c r="K72" s="24">
        <v>0.5</v>
      </c>
      <c r="L72" s="24">
        <v>0.5</v>
      </c>
      <c r="M72" s="17" t="s">
        <v>2202</v>
      </c>
      <c r="N72" s="18" t="s">
        <v>2203</v>
      </c>
    </row>
    <row r="73" spans="1:14" ht="25" customHeight="1" x14ac:dyDescent="0.35">
      <c r="A73" s="16" t="s">
        <v>2288</v>
      </c>
      <c r="B73" s="25">
        <v>2</v>
      </c>
      <c r="C73" s="24">
        <v>0.5</v>
      </c>
      <c r="D73" s="25">
        <v>2</v>
      </c>
      <c r="E73" s="24">
        <v>0.5</v>
      </c>
      <c r="F73" s="24">
        <v>0.37996158770806654</v>
      </c>
      <c r="G73" s="25">
        <v>82.040332906530097</v>
      </c>
      <c r="H73" s="25">
        <v>237</v>
      </c>
      <c r="I73" s="25">
        <v>237</v>
      </c>
      <c r="J73" s="25">
        <v>237</v>
      </c>
      <c r="K73" s="24">
        <v>0.5</v>
      </c>
      <c r="L73" s="24">
        <v>0.5</v>
      </c>
      <c r="M73" s="17" t="s">
        <v>2202</v>
      </c>
      <c r="N73" s="18" t="s">
        <v>2203</v>
      </c>
    </row>
    <row r="74" spans="1:14" ht="25" customHeight="1" x14ac:dyDescent="0.35">
      <c r="A74" s="16" t="s">
        <v>2289</v>
      </c>
      <c r="B74" s="25">
        <v>2</v>
      </c>
      <c r="C74" s="24">
        <v>0</v>
      </c>
      <c r="D74" s="25">
        <v>2</v>
      </c>
      <c r="E74" s="24">
        <v>0</v>
      </c>
      <c r="F74" s="24">
        <v>0.33450704225352113</v>
      </c>
      <c r="G74" s="25">
        <v>71.267605633802816</v>
      </c>
      <c r="H74" s="25">
        <v>0</v>
      </c>
      <c r="I74" s="25">
        <v>0</v>
      </c>
      <c r="J74" s="25">
        <v>0</v>
      </c>
      <c r="K74" s="24">
        <v>0</v>
      </c>
      <c r="L74" s="24">
        <v>0</v>
      </c>
      <c r="M74" s="17" t="s">
        <v>2202</v>
      </c>
      <c r="N74" s="18" t="s">
        <v>2203</v>
      </c>
    </row>
    <row r="75" spans="1:14" ht="25" customHeight="1" x14ac:dyDescent="0.35">
      <c r="A75" s="16" t="s">
        <v>2290</v>
      </c>
      <c r="B75" s="25">
        <v>2</v>
      </c>
      <c r="C75" s="24">
        <v>0.5</v>
      </c>
      <c r="D75" s="25">
        <v>2</v>
      </c>
      <c r="E75" s="24">
        <v>0.5</v>
      </c>
      <c r="F75" s="24">
        <v>0.37996158770806654</v>
      </c>
      <c r="G75" s="25">
        <v>74.040332906530097</v>
      </c>
      <c r="H75" s="25">
        <v>61</v>
      </c>
      <c r="I75" s="25">
        <v>61</v>
      </c>
      <c r="J75" s="25">
        <v>61</v>
      </c>
      <c r="K75" s="24">
        <v>0</v>
      </c>
      <c r="L75" s="24">
        <v>0</v>
      </c>
      <c r="M75" s="17" t="s">
        <v>2202</v>
      </c>
      <c r="N75" s="18" t="s">
        <v>2203</v>
      </c>
    </row>
    <row r="76" spans="1:14" ht="25" customHeight="1" x14ac:dyDescent="0.35">
      <c r="A76" s="16" t="s">
        <v>1019</v>
      </c>
      <c r="B76" s="25">
        <v>2</v>
      </c>
      <c r="C76" s="24">
        <v>0.5</v>
      </c>
      <c r="D76" s="25">
        <v>2</v>
      </c>
      <c r="E76" s="24">
        <v>0.5</v>
      </c>
      <c r="F76" s="24">
        <v>0.37996158770806654</v>
      </c>
      <c r="G76" s="25">
        <v>79.040332906530097</v>
      </c>
      <c r="H76" s="25">
        <v>171</v>
      </c>
      <c r="I76" s="25">
        <v>171</v>
      </c>
      <c r="J76" s="25">
        <v>171</v>
      </c>
      <c r="K76" s="24">
        <v>0.5</v>
      </c>
      <c r="L76" s="24">
        <v>0</v>
      </c>
      <c r="M76" s="17" t="s">
        <v>2202</v>
      </c>
      <c r="N76" s="18" t="s">
        <v>2203</v>
      </c>
    </row>
    <row r="77" spans="1:14" ht="25" customHeight="1" x14ac:dyDescent="0.35">
      <c r="A77" s="16" t="s">
        <v>2291</v>
      </c>
      <c r="B77" s="25">
        <v>1</v>
      </c>
      <c r="C77" s="24">
        <v>0</v>
      </c>
      <c r="D77" s="25">
        <v>1</v>
      </c>
      <c r="E77" s="24">
        <v>0</v>
      </c>
      <c r="F77" s="24">
        <v>0.35043594902749831</v>
      </c>
      <c r="G77" s="25">
        <v>74.661301140174388</v>
      </c>
      <c r="H77" s="25">
        <v>0</v>
      </c>
      <c r="I77" s="25">
        <v>0</v>
      </c>
      <c r="J77" s="25">
        <v>0</v>
      </c>
      <c r="K77" s="24">
        <v>0</v>
      </c>
      <c r="L77" s="24">
        <v>0</v>
      </c>
      <c r="M77" s="17" t="s">
        <v>2202</v>
      </c>
      <c r="N77" s="18" t="s">
        <v>2203</v>
      </c>
    </row>
    <row r="78" spans="1:14" ht="25" customHeight="1" x14ac:dyDescent="0.35">
      <c r="A78" s="16" t="s">
        <v>2292</v>
      </c>
      <c r="B78" s="25">
        <v>1</v>
      </c>
      <c r="C78" s="24">
        <v>0</v>
      </c>
      <c r="D78" s="25">
        <v>1</v>
      </c>
      <c r="E78" s="24">
        <v>0</v>
      </c>
      <c r="F78" s="24">
        <v>0.35043594902749831</v>
      </c>
      <c r="G78" s="25">
        <v>74.661301140174388</v>
      </c>
      <c r="H78" s="25">
        <v>0</v>
      </c>
      <c r="I78" s="25">
        <v>0</v>
      </c>
      <c r="J78" s="25">
        <v>0</v>
      </c>
      <c r="K78" s="24">
        <v>0</v>
      </c>
      <c r="L78" s="24">
        <v>0</v>
      </c>
      <c r="M78" s="17" t="s">
        <v>2202</v>
      </c>
      <c r="N78" s="18" t="s">
        <v>2203</v>
      </c>
    </row>
    <row r="79" spans="1:14" ht="25" customHeight="1" x14ac:dyDescent="0.35">
      <c r="A79" s="16" t="s">
        <v>2293</v>
      </c>
      <c r="B79" s="25">
        <v>1</v>
      </c>
      <c r="C79" s="24">
        <v>0</v>
      </c>
      <c r="D79" s="25">
        <v>1</v>
      </c>
      <c r="E79" s="24">
        <v>0</v>
      </c>
      <c r="F79" s="24">
        <v>0.35043594902749831</v>
      </c>
      <c r="G79" s="25">
        <v>74.661301140174388</v>
      </c>
      <c r="H79" s="25">
        <v>0</v>
      </c>
      <c r="I79" s="25">
        <v>0</v>
      </c>
      <c r="J79" s="25">
        <v>0</v>
      </c>
      <c r="K79" s="24">
        <v>0</v>
      </c>
      <c r="L79" s="24">
        <v>0</v>
      </c>
      <c r="M79" s="17" t="s">
        <v>2202</v>
      </c>
      <c r="N79" s="18" t="s">
        <v>2203</v>
      </c>
    </row>
    <row r="80" spans="1:14" ht="25" customHeight="1" x14ac:dyDescent="0.35">
      <c r="A80" s="16" t="s">
        <v>2294</v>
      </c>
      <c r="B80" s="25">
        <v>1</v>
      </c>
      <c r="C80" s="24">
        <v>1</v>
      </c>
      <c r="D80" s="25">
        <v>1</v>
      </c>
      <c r="E80" s="24">
        <v>1</v>
      </c>
      <c r="F80" s="24">
        <v>0.39805499664654592</v>
      </c>
      <c r="G80" s="25">
        <v>78.613682092555337</v>
      </c>
      <c r="H80" s="25">
        <v>83</v>
      </c>
      <c r="I80" s="25">
        <v>83</v>
      </c>
      <c r="J80" s="25">
        <v>83</v>
      </c>
      <c r="K80" s="24">
        <v>0</v>
      </c>
      <c r="L80" s="24">
        <v>0</v>
      </c>
      <c r="M80" s="17" t="s">
        <v>2202</v>
      </c>
      <c r="N80" s="18" t="s">
        <v>2203</v>
      </c>
    </row>
    <row r="81" spans="1:14" ht="25" customHeight="1" x14ac:dyDescent="0.35">
      <c r="A81" s="16" t="s">
        <v>2295</v>
      </c>
      <c r="B81" s="25">
        <v>1</v>
      </c>
      <c r="C81" s="24">
        <v>0</v>
      </c>
      <c r="D81" s="25">
        <v>1</v>
      </c>
      <c r="E81" s="24">
        <v>0</v>
      </c>
      <c r="F81" s="24">
        <v>0.35043594902749831</v>
      </c>
      <c r="G81" s="25">
        <v>74.661301140174388</v>
      </c>
      <c r="H81" s="25">
        <v>0</v>
      </c>
      <c r="I81" s="25">
        <v>0</v>
      </c>
      <c r="J81" s="25">
        <v>0</v>
      </c>
      <c r="K81" s="24">
        <v>0</v>
      </c>
      <c r="L81" s="24">
        <v>0</v>
      </c>
      <c r="M81" s="17" t="s">
        <v>2202</v>
      </c>
      <c r="N81" s="18" t="s">
        <v>2203</v>
      </c>
    </row>
    <row r="82" spans="1:14" ht="25" customHeight="1" x14ac:dyDescent="0.35">
      <c r="A82" s="16" t="s">
        <v>2296</v>
      </c>
      <c r="B82" s="25">
        <v>1</v>
      </c>
      <c r="C82" s="24">
        <v>0</v>
      </c>
      <c r="D82" s="25">
        <v>1</v>
      </c>
      <c r="E82" s="24">
        <v>0</v>
      </c>
      <c r="F82" s="24">
        <v>0.35043594902749831</v>
      </c>
      <c r="G82" s="25">
        <v>74.661301140174388</v>
      </c>
      <c r="H82" s="25">
        <v>0</v>
      </c>
      <c r="I82" s="25">
        <v>0</v>
      </c>
      <c r="J82" s="25">
        <v>0</v>
      </c>
      <c r="K82" s="24">
        <v>0</v>
      </c>
      <c r="L82" s="24">
        <v>0</v>
      </c>
      <c r="M82" s="17" t="s">
        <v>2202</v>
      </c>
      <c r="N82" s="18" t="s">
        <v>2203</v>
      </c>
    </row>
    <row r="83" spans="1:14" ht="25" customHeight="1" x14ac:dyDescent="0.35">
      <c r="A83" s="16" t="s">
        <v>2297</v>
      </c>
      <c r="B83" s="25">
        <v>1</v>
      </c>
      <c r="C83" s="24">
        <v>1</v>
      </c>
      <c r="D83" s="25">
        <v>1</v>
      </c>
      <c r="E83" s="24">
        <v>1</v>
      </c>
      <c r="F83" s="24">
        <v>0.39805499664654592</v>
      </c>
      <c r="G83" s="25">
        <v>78.375586854460096</v>
      </c>
      <c r="H83" s="25">
        <v>78</v>
      </c>
      <c r="I83" s="25">
        <v>78</v>
      </c>
      <c r="J83" s="25">
        <v>78</v>
      </c>
      <c r="K83" s="24">
        <v>0</v>
      </c>
      <c r="L83" s="24">
        <v>0</v>
      </c>
      <c r="M83" s="17" t="s">
        <v>2202</v>
      </c>
      <c r="N83" s="18" t="s">
        <v>2203</v>
      </c>
    </row>
    <row r="84" spans="1:14" ht="25" customHeight="1" x14ac:dyDescent="0.35">
      <c r="A84" s="16" t="s">
        <v>45</v>
      </c>
      <c r="B84" s="25">
        <v>3</v>
      </c>
      <c r="C84" s="24">
        <v>0.33333333333333331</v>
      </c>
      <c r="D84" s="25">
        <v>1</v>
      </c>
      <c r="E84" s="24">
        <v>0</v>
      </c>
      <c r="F84" s="24">
        <v>0.35043594902749831</v>
      </c>
      <c r="G84" s="25">
        <v>74.661301140174388</v>
      </c>
      <c r="H84" s="25">
        <v>0</v>
      </c>
      <c r="I84" s="25">
        <v>0</v>
      </c>
      <c r="J84" s="25">
        <v>0</v>
      </c>
      <c r="K84" s="24">
        <v>0</v>
      </c>
      <c r="L84" s="24">
        <v>0</v>
      </c>
      <c r="M84" s="17" t="s">
        <v>2202</v>
      </c>
      <c r="N84" s="18" t="s">
        <v>2203</v>
      </c>
    </row>
    <row r="85" spans="1:14" ht="25" customHeight="1" x14ac:dyDescent="0.35">
      <c r="A85" s="16" t="s">
        <v>2298</v>
      </c>
      <c r="B85" s="25">
        <v>1</v>
      </c>
      <c r="C85" s="24">
        <v>0</v>
      </c>
      <c r="D85" s="25">
        <v>1</v>
      </c>
      <c r="E85" s="24">
        <v>0</v>
      </c>
      <c r="F85" s="24">
        <v>0.35043594902749831</v>
      </c>
      <c r="G85" s="25">
        <v>74.661301140174388</v>
      </c>
      <c r="H85" s="25">
        <v>0</v>
      </c>
      <c r="I85" s="25">
        <v>0</v>
      </c>
      <c r="J85" s="25">
        <v>0</v>
      </c>
      <c r="K85" s="24">
        <v>0</v>
      </c>
      <c r="L85" s="24">
        <v>0</v>
      </c>
      <c r="M85" s="17" t="s">
        <v>2202</v>
      </c>
      <c r="N85" s="18" t="s">
        <v>2203</v>
      </c>
    </row>
    <row r="86" spans="1:14" ht="25" customHeight="1" x14ac:dyDescent="0.35">
      <c r="A86" s="16" t="s">
        <v>2299</v>
      </c>
      <c r="B86" s="25">
        <v>1</v>
      </c>
      <c r="C86" s="24">
        <v>0</v>
      </c>
      <c r="D86" s="25">
        <v>1</v>
      </c>
      <c r="E86" s="24">
        <v>0</v>
      </c>
      <c r="F86" s="24">
        <v>0.35043594902749831</v>
      </c>
      <c r="G86" s="25">
        <v>74.661301140174388</v>
      </c>
      <c r="H86" s="25">
        <v>0</v>
      </c>
      <c r="I86" s="25">
        <v>0</v>
      </c>
      <c r="J86" s="25">
        <v>0</v>
      </c>
      <c r="K86" s="24">
        <v>0</v>
      </c>
      <c r="L86" s="24">
        <v>0</v>
      </c>
      <c r="M86" s="17" t="s">
        <v>2202</v>
      </c>
      <c r="N86" s="18" t="s">
        <v>2203</v>
      </c>
    </row>
    <row r="87" spans="1:14" ht="25" customHeight="1" x14ac:dyDescent="0.35">
      <c r="A87" s="16" t="s">
        <v>2300</v>
      </c>
      <c r="B87" s="25">
        <v>1</v>
      </c>
      <c r="C87" s="24">
        <v>1</v>
      </c>
      <c r="D87" s="25">
        <v>1</v>
      </c>
      <c r="E87" s="24">
        <v>1</v>
      </c>
      <c r="F87" s="24">
        <v>0.39805499664654592</v>
      </c>
      <c r="G87" s="25">
        <v>138.5660630449363</v>
      </c>
      <c r="H87" s="25">
        <v>1342</v>
      </c>
      <c r="I87" s="25">
        <v>1342</v>
      </c>
      <c r="J87" s="25">
        <v>1342</v>
      </c>
      <c r="K87" s="24">
        <v>1</v>
      </c>
      <c r="L87" s="24">
        <v>1</v>
      </c>
      <c r="M87" s="17" t="s">
        <v>2202</v>
      </c>
      <c r="N87" s="18" t="s">
        <v>2203</v>
      </c>
    </row>
    <row r="88" spans="1:14" ht="25" customHeight="1" x14ac:dyDescent="0.35">
      <c r="A88" s="16" t="s">
        <v>2301</v>
      </c>
      <c r="B88" s="25">
        <v>1</v>
      </c>
      <c r="C88" s="24">
        <v>0</v>
      </c>
      <c r="D88" s="25">
        <v>1</v>
      </c>
      <c r="E88" s="24">
        <v>0</v>
      </c>
      <c r="F88" s="24">
        <v>0.35043594902749831</v>
      </c>
      <c r="G88" s="25">
        <v>74.661301140174388</v>
      </c>
      <c r="H88" s="25">
        <v>0</v>
      </c>
      <c r="I88" s="25">
        <v>0</v>
      </c>
      <c r="J88" s="25">
        <v>0</v>
      </c>
      <c r="K88" s="24">
        <v>0</v>
      </c>
      <c r="L88" s="24">
        <v>0</v>
      </c>
      <c r="M88" s="17" t="s">
        <v>2202</v>
      </c>
      <c r="N88" s="18" t="s">
        <v>2203</v>
      </c>
    </row>
    <row r="89" spans="1:14" ht="25" customHeight="1" x14ac:dyDescent="0.35">
      <c r="A89" s="16" t="s">
        <v>2302</v>
      </c>
      <c r="B89" s="25">
        <v>1</v>
      </c>
      <c r="C89" s="24">
        <v>1</v>
      </c>
      <c r="D89" s="25">
        <v>1</v>
      </c>
      <c r="E89" s="24">
        <v>1</v>
      </c>
      <c r="F89" s="24">
        <v>0.39805499664654592</v>
      </c>
      <c r="G89" s="25">
        <v>81.042253521126767</v>
      </c>
      <c r="H89" s="25">
        <v>134</v>
      </c>
      <c r="I89" s="25">
        <v>134</v>
      </c>
      <c r="J89" s="25">
        <v>134</v>
      </c>
      <c r="K89" s="24">
        <v>1</v>
      </c>
      <c r="L89" s="24">
        <v>0</v>
      </c>
      <c r="M89" s="17" t="s">
        <v>2202</v>
      </c>
      <c r="N89" s="18" t="s">
        <v>2203</v>
      </c>
    </row>
    <row r="90" spans="1:14" ht="25" customHeight="1" x14ac:dyDescent="0.35">
      <c r="A90" s="16" t="s">
        <v>2303</v>
      </c>
      <c r="B90" s="25">
        <v>1</v>
      </c>
      <c r="C90" s="24">
        <v>0</v>
      </c>
      <c r="D90" s="25">
        <v>1</v>
      </c>
      <c r="E90" s="24">
        <v>0</v>
      </c>
      <c r="F90" s="24">
        <v>0.35043594902749831</v>
      </c>
      <c r="G90" s="25">
        <v>74.661301140174388</v>
      </c>
      <c r="H90" s="25">
        <v>0</v>
      </c>
      <c r="I90" s="25">
        <v>0</v>
      </c>
      <c r="J90" s="25">
        <v>0</v>
      </c>
      <c r="K90" s="24">
        <v>0</v>
      </c>
      <c r="L90" s="24">
        <v>0</v>
      </c>
      <c r="M90" s="17" t="s">
        <v>2202</v>
      </c>
      <c r="N90" s="18" t="s">
        <v>2203</v>
      </c>
    </row>
    <row r="91" spans="1:14" ht="25" customHeight="1" x14ac:dyDescent="0.35">
      <c r="A91" s="16" t="s">
        <v>1279</v>
      </c>
      <c r="B91" s="25">
        <v>1</v>
      </c>
      <c r="C91" s="24">
        <v>0</v>
      </c>
      <c r="D91" s="25">
        <v>1</v>
      </c>
      <c r="E91" s="24">
        <v>0</v>
      </c>
      <c r="F91" s="24">
        <v>0.35043594902749831</v>
      </c>
      <c r="G91" s="25">
        <v>74.661301140174388</v>
      </c>
      <c r="H91" s="25">
        <v>0</v>
      </c>
      <c r="I91" s="25">
        <v>0</v>
      </c>
      <c r="J91" s="25">
        <v>0</v>
      </c>
      <c r="K91" s="24">
        <v>0</v>
      </c>
      <c r="L91" s="24">
        <v>0</v>
      </c>
      <c r="M91" s="17" t="s">
        <v>2202</v>
      </c>
      <c r="N91" s="18" t="s">
        <v>2203</v>
      </c>
    </row>
    <row r="92" spans="1:14" ht="25" customHeight="1" x14ac:dyDescent="0.35">
      <c r="A92" s="16" t="s">
        <v>2304</v>
      </c>
      <c r="B92" s="25">
        <v>1</v>
      </c>
      <c r="C92" s="24">
        <v>0</v>
      </c>
      <c r="D92" s="25">
        <v>1</v>
      </c>
      <c r="E92" s="24">
        <v>0</v>
      </c>
      <c r="F92" s="24">
        <v>0.35043594902749831</v>
      </c>
      <c r="G92" s="25">
        <v>74.661301140174388</v>
      </c>
      <c r="H92" s="25">
        <v>0</v>
      </c>
      <c r="I92" s="25">
        <v>0</v>
      </c>
      <c r="J92" s="25">
        <v>0</v>
      </c>
      <c r="K92" s="24">
        <v>0</v>
      </c>
      <c r="L92" s="24">
        <v>0</v>
      </c>
      <c r="M92" s="17" t="s">
        <v>2202</v>
      </c>
      <c r="N92" s="18" t="s">
        <v>2203</v>
      </c>
    </row>
    <row r="93" spans="1:14" ht="25" customHeight="1" x14ac:dyDescent="0.35">
      <c r="A93" s="16" t="s">
        <v>2305</v>
      </c>
      <c r="B93" s="25">
        <v>1</v>
      </c>
      <c r="C93" s="24">
        <v>0</v>
      </c>
      <c r="D93" s="25">
        <v>1</v>
      </c>
      <c r="E93" s="24">
        <v>0</v>
      </c>
      <c r="F93" s="24">
        <v>0.35043594902749831</v>
      </c>
      <c r="G93" s="25">
        <v>74.661301140174388</v>
      </c>
      <c r="H93" s="25">
        <v>0</v>
      </c>
      <c r="I93" s="25">
        <v>0</v>
      </c>
      <c r="J93" s="25">
        <v>0</v>
      </c>
      <c r="K93" s="24">
        <v>0</v>
      </c>
      <c r="L93" s="24">
        <v>0</v>
      </c>
      <c r="M93" s="17" t="s">
        <v>2202</v>
      </c>
      <c r="N93" s="18" t="s">
        <v>2203</v>
      </c>
    </row>
    <row r="94" spans="1:14" ht="25" customHeight="1" x14ac:dyDescent="0.35">
      <c r="A94" s="16" t="s">
        <v>2306</v>
      </c>
      <c r="B94" s="25">
        <v>1</v>
      </c>
      <c r="C94" s="24">
        <v>1</v>
      </c>
      <c r="D94" s="25">
        <v>1</v>
      </c>
      <c r="E94" s="24">
        <v>1</v>
      </c>
      <c r="F94" s="24">
        <v>0.39805499664654592</v>
      </c>
      <c r="G94" s="25">
        <v>74.708920187793439</v>
      </c>
      <c r="H94" s="25">
        <v>1</v>
      </c>
      <c r="I94" s="25">
        <v>1</v>
      </c>
      <c r="J94" s="25">
        <v>1</v>
      </c>
      <c r="K94" s="24">
        <v>0</v>
      </c>
      <c r="L94" s="24">
        <v>0</v>
      </c>
      <c r="M94" s="17" t="s">
        <v>2202</v>
      </c>
      <c r="N94" s="18" t="s">
        <v>2203</v>
      </c>
    </row>
    <row r="95" spans="1:14" ht="25" customHeight="1" x14ac:dyDescent="0.35">
      <c r="A95" s="16" t="s">
        <v>2307</v>
      </c>
      <c r="B95" s="25">
        <v>1</v>
      </c>
      <c r="C95" s="24">
        <v>0</v>
      </c>
      <c r="D95" s="25">
        <v>1</v>
      </c>
      <c r="E95" s="24">
        <v>0</v>
      </c>
      <c r="F95" s="24">
        <v>0.35043594902749831</v>
      </c>
      <c r="G95" s="25">
        <v>74.661301140174388</v>
      </c>
      <c r="H95" s="25">
        <v>0</v>
      </c>
      <c r="I95" s="25">
        <v>0</v>
      </c>
      <c r="J95" s="25">
        <v>0</v>
      </c>
      <c r="K95" s="24">
        <v>0</v>
      </c>
      <c r="L95" s="24">
        <v>0</v>
      </c>
      <c r="M95" s="17" t="s">
        <v>2202</v>
      </c>
      <c r="N95" s="18" t="s">
        <v>2203</v>
      </c>
    </row>
    <row r="96" spans="1:14" ht="25" customHeight="1" x14ac:dyDescent="0.35">
      <c r="A96" s="16" t="s">
        <v>2308</v>
      </c>
      <c r="B96" s="25">
        <v>1</v>
      </c>
      <c r="C96" s="24">
        <v>1</v>
      </c>
      <c r="D96" s="25">
        <v>1</v>
      </c>
      <c r="E96" s="24">
        <v>1</v>
      </c>
      <c r="F96" s="24">
        <v>0.39805499664654592</v>
      </c>
      <c r="G96" s="25">
        <v>74.756539235412475</v>
      </c>
      <c r="H96" s="25">
        <v>2</v>
      </c>
      <c r="I96" s="25">
        <v>2</v>
      </c>
      <c r="J96" s="25">
        <v>2</v>
      </c>
      <c r="K96" s="24">
        <v>0</v>
      </c>
      <c r="L96" s="24">
        <v>0</v>
      </c>
      <c r="M96" s="17" t="s">
        <v>2202</v>
      </c>
      <c r="N96" s="18" t="s">
        <v>2203</v>
      </c>
    </row>
    <row r="97" spans="1:14" ht="25" customHeight="1" x14ac:dyDescent="0.35">
      <c r="A97" s="16" t="s">
        <v>2309</v>
      </c>
      <c r="B97" s="25">
        <v>2</v>
      </c>
      <c r="C97" s="24">
        <v>0.5</v>
      </c>
      <c r="D97" s="25">
        <v>1</v>
      </c>
      <c r="E97" s="24">
        <v>0</v>
      </c>
      <c r="F97" s="24">
        <v>0.35043594902749831</v>
      </c>
      <c r="G97" s="25">
        <v>74.661301140174388</v>
      </c>
      <c r="H97" s="25">
        <v>0</v>
      </c>
      <c r="I97" s="25">
        <v>0</v>
      </c>
      <c r="J97" s="25">
        <v>0</v>
      </c>
      <c r="K97" s="24">
        <v>0</v>
      </c>
      <c r="L97" s="24">
        <v>0</v>
      </c>
      <c r="M97" s="17" t="s">
        <v>2202</v>
      </c>
      <c r="N97" s="18" t="s">
        <v>2203</v>
      </c>
    </row>
    <row r="98" spans="1:14" ht="25" customHeight="1" x14ac:dyDescent="0.35">
      <c r="A98" s="16" t="s">
        <v>1022</v>
      </c>
      <c r="B98" s="25">
        <v>1</v>
      </c>
      <c r="C98" s="24">
        <v>0</v>
      </c>
      <c r="D98" s="25">
        <v>1</v>
      </c>
      <c r="E98" s="24">
        <v>0</v>
      </c>
      <c r="F98" s="24">
        <v>0.35043594902749831</v>
      </c>
      <c r="G98" s="25">
        <v>74.661301140174388</v>
      </c>
      <c r="H98" s="25">
        <v>0</v>
      </c>
      <c r="I98" s="25">
        <v>0</v>
      </c>
      <c r="J98" s="25">
        <v>0</v>
      </c>
      <c r="K98" s="24">
        <v>0</v>
      </c>
      <c r="L98" s="24">
        <v>0</v>
      </c>
      <c r="M98" s="17" t="s">
        <v>2202</v>
      </c>
      <c r="N98" s="18" t="s">
        <v>2203</v>
      </c>
    </row>
    <row r="99" spans="1:14" ht="25" customHeight="1" x14ac:dyDescent="0.35">
      <c r="A99" s="16" t="s">
        <v>2310</v>
      </c>
      <c r="B99" s="25">
        <v>1</v>
      </c>
      <c r="C99" s="24">
        <v>0</v>
      </c>
      <c r="D99" s="25">
        <v>1</v>
      </c>
      <c r="E99" s="24">
        <v>0</v>
      </c>
      <c r="F99" s="24">
        <v>0.35043594902749831</v>
      </c>
      <c r="G99" s="25">
        <v>74.661301140174388</v>
      </c>
      <c r="H99" s="25">
        <v>0</v>
      </c>
      <c r="I99" s="25">
        <v>0</v>
      </c>
      <c r="J99" s="25">
        <v>0</v>
      </c>
      <c r="K99" s="24">
        <v>0</v>
      </c>
      <c r="L99" s="24">
        <v>0</v>
      </c>
      <c r="M99" s="17" t="s">
        <v>2202</v>
      </c>
      <c r="N99" s="18" t="s">
        <v>2203</v>
      </c>
    </row>
    <row r="100" spans="1:14" ht="25" customHeight="1" x14ac:dyDescent="0.35">
      <c r="A100" s="16" t="s">
        <v>2311</v>
      </c>
      <c r="B100" s="25">
        <v>1</v>
      </c>
      <c r="C100" s="24">
        <v>0</v>
      </c>
      <c r="D100" s="25">
        <v>1</v>
      </c>
      <c r="E100" s="24">
        <v>0</v>
      </c>
      <c r="F100" s="24">
        <v>0.35043594902749831</v>
      </c>
      <c r="G100" s="25">
        <v>74.661301140174388</v>
      </c>
      <c r="H100" s="25">
        <v>0</v>
      </c>
      <c r="I100" s="25">
        <v>0</v>
      </c>
      <c r="J100" s="25">
        <v>0</v>
      </c>
      <c r="K100" s="24">
        <v>0</v>
      </c>
      <c r="L100" s="24">
        <v>0</v>
      </c>
      <c r="M100" s="17" t="s">
        <v>2202</v>
      </c>
      <c r="N100" s="18" t="s">
        <v>2203</v>
      </c>
    </row>
    <row r="101" spans="1:14" ht="25" customHeight="1" x14ac:dyDescent="0.35">
      <c r="A101" s="16" t="s">
        <v>2312</v>
      </c>
      <c r="B101" s="25">
        <v>1</v>
      </c>
      <c r="C101" s="24">
        <v>0</v>
      </c>
      <c r="D101" s="25">
        <v>1</v>
      </c>
      <c r="E101" s="24">
        <v>0</v>
      </c>
      <c r="F101" s="24">
        <v>0.35043594902749831</v>
      </c>
      <c r="G101" s="25">
        <v>74.661301140174388</v>
      </c>
      <c r="H101" s="25">
        <v>0</v>
      </c>
      <c r="I101" s="25">
        <v>0</v>
      </c>
      <c r="J101" s="25">
        <v>0</v>
      </c>
      <c r="K101" s="24">
        <v>0</v>
      </c>
      <c r="L101" s="24">
        <v>0</v>
      </c>
      <c r="M101" s="17" t="s">
        <v>2202</v>
      </c>
      <c r="N101" s="18" t="s">
        <v>2203</v>
      </c>
    </row>
    <row r="102" spans="1:14" ht="25" customHeight="1" x14ac:dyDescent="0.35">
      <c r="A102" s="16" t="s">
        <v>383</v>
      </c>
      <c r="B102" s="25">
        <v>1</v>
      </c>
      <c r="C102" s="24">
        <v>0</v>
      </c>
      <c r="D102" s="25">
        <v>1</v>
      </c>
      <c r="E102" s="24">
        <v>0</v>
      </c>
      <c r="F102" s="24">
        <v>0.35043594902749831</v>
      </c>
      <c r="G102" s="25">
        <v>74.661301140174388</v>
      </c>
      <c r="H102" s="25">
        <v>0</v>
      </c>
      <c r="I102" s="25">
        <v>0</v>
      </c>
      <c r="J102" s="25">
        <v>0</v>
      </c>
      <c r="K102" s="24">
        <v>0</v>
      </c>
      <c r="L102" s="24">
        <v>0</v>
      </c>
      <c r="M102" s="17" t="s">
        <v>2202</v>
      </c>
      <c r="N102" s="18" t="s">
        <v>2203</v>
      </c>
    </row>
    <row r="103" spans="1:14" ht="25" customHeight="1" x14ac:dyDescent="0.35">
      <c r="A103" s="16" t="s">
        <v>587</v>
      </c>
      <c r="B103" s="25">
        <v>1</v>
      </c>
      <c r="C103" s="24">
        <v>0</v>
      </c>
      <c r="D103" s="25">
        <v>1</v>
      </c>
      <c r="E103" s="24">
        <v>0</v>
      </c>
      <c r="F103" s="24">
        <v>0.35043594902749831</v>
      </c>
      <c r="G103" s="25">
        <v>74.661301140174388</v>
      </c>
      <c r="H103" s="25">
        <v>0</v>
      </c>
      <c r="I103" s="25">
        <v>0</v>
      </c>
      <c r="J103" s="25">
        <v>0</v>
      </c>
      <c r="K103" s="24">
        <v>0</v>
      </c>
      <c r="L103" s="24">
        <v>0</v>
      </c>
      <c r="M103" s="17" t="s">
        <v>2202</v>
      </c>
      <c r="N103" s="18" t="s">
        <v>2203</v>
      </c>
    </row>
    <row r="104" spans="1:14" ht="25" customHeight="1" x14ac:dyDescent="0.35">
      <c r="A104" s="16" t="s">
        <v>1249</v>
      </c>
      <c r="B104" s="25">
        <v>1</v>
      </c>
      <c r="C104" s="24">
        <v>0</v>
      </c>
      <c r="D104" s="25">
        <v>1</v>
      </c>
      <c r="E104" s="24">
        <v>0</v>
      </c>
      <c r="F104" s="24">
        <v>0.35043594902749831</v>
      </c>
      <c r="G104" s="25">
        <v>74.661301140174388</v>
      </c>
      <c r="H104" s="25">
        <v>0</v>
      </c>
      <c r="I104" s="25">
        <v>0</v>
      </c>
      <c r="J104" s="25">
        <v>0</v>
      </c>
      <c r="K104" s="24">
        <v>0</v>
      </c>
      <c r="L104" s="24">
        <v>0</v>
      </c>
      <c r="M104" s="17" t="s">
        <v>2202</v>
      </c>
      <c r="N104" s="18" t="s">
        <v>2203</v>
      </c>
    </row>
    <row r="105" spans="1:14" ht="25" customHeight="1" x14ac:dyDescent="0.35">
      <c r="A105" s="16" t="s">
        <v>2313</v>
      </c>
      <c r="B105" s="25">
        <v>1</v>
      </c>
      <c r="C105" s="24">
        <v>1</v>
      </c>
      <c r="D105" s="25">
        <v>1</v>
      </c>
      <c r="E105" s="24">
        <v>1</v>
      </c>
      <c r="F105" s="24">
        <v>0.39805499664654592</v>
      </c>
      <c r="G105" s="25">
        <v>77.470824949698198</v>
      </c>
      <c r="H105" s="25">
        <v>59</v>
      </c>
      <c r="I105" s="25">
        <v>59</v>
      </c>
      <c r="J105" s="25">
        <v>59</v>
      </c>
      <c r="K105" s="24">
        <v>0</v>
      </c>
      <c r="L105" s="24">
        <v>0</v>
      </c>
      <c r="M105" s="17" t="s">
        <v>2202</v>
      </c>
      <c r="N105" s="18" t="s">
        <v>2203</v>
      </c>
    </row>
    <row r="106" spans="1:14" ht="25" customHeight="1" x14ac:dyDescent="0.35">
      <c r="A106" s="16" t="s">
        <v>2314</v>
      </c>
      <c r="B106" s="25">
        <v>1</v>
      </c>
      <c r="C106" s="24">
        <v>1</v>
      </c>
      <c r="D106" s="25">
        <v>1</v>
      </c>
      <c r="E106" s="24">
        <v>1</v>
      </c>
      <c r="F106" s="24">
        <v>0.39805499664654592</v>
      </c>
      <c r="G106" s="25">
        <v>92.804158283031526</v>
      </c>
      <c r="H106" s="25">
        <v>381</v>
      </c>
      <c r="I106" s="25">
        <v>381</v>
      </c>
      <c r="J106" s="25">
        <v>381</v>
      </c>
      <c r="K106" s="24">
        <v>1</v>
      </c>
      <c r="L106" s="24">
        <v>1</v>
      </c>
      <c r="M106" s="17" t="s">
        <v>2202</v>
      </c>
      <c r="N106" s="18" t="s">
        <v>2203</v>
      </c>
    </row>
    <row r="107" spans="1:14" ht="25" customHeight="1" x14ac:dyDescent="0.35">
      <c r="A107" s="16" t="s">
        <v>178</v>
      </c>
      <c r="B107" s="25">
        <v>1</v>
      </c>
      <c r="C107" s="24">
        <v>0</v>
      </c>
      <c r="D107" s="25">
        <v>1</v>
      </c>
      <c r="E107" s="24">
        <v>0</v>
      </c>
      <c r="F107" s="24">
        <v>0.35043594902749831</v>
      </c>
      <c r="G107" s="25">
        <v>74.661301140174388</v>
      </c>
      <c r="H107" s="25">
        <v>0</v>
      </c>
      <c r="I107" s="25">
        <v>0</v>
      </c>
      <c r="J107" s="25">
        <v>0</v>
      </c>
      <c r="K107" s="24">
        <v>0</v>
      </c>
      <c r="L107" s="24">
        <v>0</v>
      </c>
      <c r="M107" s="17" t="s">
        <v>2202</v>
      </c>
      <c r="N107" s="18" t="s">
        <v>2203</v>
      </c>
    </row>
    <row r="108" spans="1:14" ht="25" customHeight="1" x14ac:dyDescent="0.35">
      <c r="A108" s="16" t="s">
        <v>694</v>
      </c>
      <c r="B108" s="25">
        <v>1</v>
      </c>
      <c r="C108" s="24">
        <v>0</v>
      </c>
      <c r="D108" s="25">
        <v>1</v>
      </c>
      <c r="E108" s="24">
        <v>0</v>
      </c>
      <c r="F108" s="24">
        <v>0.35043594902749831</v>
      </c>
      <c r="G108" s="25">
        <v>74.661301140174388</v>
      </c>
      <c r="H108" s="25">
        <v>0</v>
      </c>
      <c r="I108" s="25">
        <v>0</v>
      </c>
      <c r="J108" s="25">
        <v>0</v>
      </c>
      <c r="K108" s="24">
        <v>0</v>
      </c>
      <c r="L108" s="24">
        <v>0</v>
      </c>
      <c r="M108" s="17" t="s">
        <v>2202</v>
      </c>
      <c r="N108" s="18" t="s">
        <v>2203</v>
      </c>
    </row>
    <row r="109" spans="1:14" ht="25" customHeight="1" x14ac:dyDescent="0.35">
      <c r="A109" s="16" t="s">
        <v>2315</v>
      </c>
      <c r="B109" s="25">
        <v>1</v>
      </c>
      <c r="C109" s="24">
        <v>1</v>
      </c>
      <c r="D109" s="25">
        <v>1</v>
      </c>
      <c r="E109" s="24">
        <v>1</v>
      </c>
      <c r="F109" s="24">
        <v>0.39805499664654592</v>
      </c>
      <c r="G109" s="25">
        <v>98.470824949698198</v>
      </c>
      <c r="H109" s="25">
        <v>500</v>
      </c>
      <c r="I109" s="25">
        <v>500</v>
      </c>
      <c r="J109" s="25">
        <v>500</v>
      </c>
      <c r="K109" s="24">
        <v>1</v>
      </c>
      <c r="L109" s="24">
        <v>1</v>
      </c>
      <c r="M109" s="17" t="s">
        <v>2202</v>
      </c>
      <c r="N109" s="18" t="s">
        <v>2203</v>
      </c>
    </row>
    <row r="110" spans="1:14" ht="25" customHeight="1" x14ac:dyDescent="0.35">
      <c r="A110" s="16" t="s">
        <v>2316</v>
      </c>
      <c r="B110" s="25">
        <v>1</v>
      </c>
      <c r="C110" s="24">
        <v>0</v>
      </c>
      <c r="D110" s="25">
        <v>1</v>
      </c>
      <c r="E110" s="24">
        <v>0</v>
      </c>
      <c r="F110" s="24">
        <v>0.35043594902749831</v>
      </c>
      <c r="G110" s="25">
        <v>74.661301140174388</v>
      </c>
      <c r="H110" s="25">
        <v>0</v>
      </c>
      <c r="I110" s="25">
        <v>0</v>
      </c>
      <c r="J110" s="25">
        <v>0</v>
      </c>
      <c r="K110" s="24">
        <v>0</v>
      </c>
      <c r="L110" s="24">
        <v>0</v>
      </c>
      <c r="M110" s="17" t="s">
        <v>2202</v>
      </c>
      <c r="N110" s="18" t="s">
        <v>2203</v>
      </c>
    </row>
    <row r="111" spans="1:14" ht="25" customHeight="1" x14ac:dyDescent="0.35">
      <c r="A111" s="16" t="s">
        <v>2317</v>
      </c>
      <c r="B111" s="25">
        <v>1</v>
      </c>
      <c r="C111" s="24">
        <v>1</v>
      </c>
      <c r="D111" s="25">
        <v>1</v>
      </c>
      <c r="E111" s="24">
        <v>1</v>
      </c>
      <c r="F111" s="24">
        <v>0.39805499664654592</v>
      </c>
      <c r="G111" s="25">
        <v>76.185110663983906</v>
      </c>
      <c r="H111" s="25">
        <v>32</v>
      </c>
      <c r="I111" s="25">
        <v>32</v>
      </c>
      <c r="J111" s="25">
        <v>32</v>
      </c>
      <c r="K111" s="24">
        <v>0</v>
      </c>
      <c r="L111" s="24">
        <v>0</v>
      </c>
      <c r="M111" s="17" t="s">
        <v>2202</v>
      </c>
      <c r="N111" s="18" t="s">
        <v>2203</v>
      </c>
    </row>
    <row r="112" spans="1:14" ht="25" customHeight="1" x14ac:dyDescent="0.35">
      <c r="A112" s="16" t="s">
        <v>2318</v>
      </c>
      <c r="B112" s="25">
        <v>1</v>
      </c>
      <c r="C112" s="24">
        <v>0</v>
      </c>
      <c r="D112" s="25">
        <v>1</v>
      </c>
      <c r="E112" s="24">
        <v>0</v>
      </c>
      <c r="F112" s="24">
        <v>0.35043594902749831</v>
      </c>
      <c r="G112" s="25">
        <v>74.661301140174388</v>
      </c>
      <c r="H112" s="25">
        <v>0</v>
      </c>
      <c r="I112" s="25">
        <v>0</v>
      </c>
      <c r="J112" s="25">
        <v>0</v>
      </c>
      <c r="K112" s="24">
        <v>0</v>
      </c>
      <c r="L112" s="24">
        <v>0</v>
      </c>
      <c r="M112" s="17" t="s">
        <v>2202</v>
      </c>
      <c r="N112" s="18" t="s">
        <v>2203</v>
      </c>
    </row>
    <row r="113" spans="1:14" ht="25" customHeight="1" x14ac:dyDescent="0.35">
      <c r="A113" s="16" t="s">
        <v>2319</v>
      </c>
      <c r="B113" s="25">
        <v>1</v>
      </c>
      <c r="C113" s="24">
        <v>0</v>
      </c>
      <c r="D113" s="25">
        <v>1</v>
      </c>
      <c r="E113" s="24">
        <v>0</v>
      </c>
      <c r="F113" s="24">
        <v>0.35043594902749831</v>
      </c>
      <c r="G113" s="25">
        <v>74.661301140174388</v>
      </c>
      <c r="H113" s="25">
        <v>0</v>
      </c>
      <c r="I113" s="25">
        <v>0</v>
      </c>
      <c r="J113" s="25">
        <v>0</v>
      </c>
      <c r="K113" s="24">
        <v>0</v>
      </c>
      <c r="L113" s="24">
        <v>0</v>
      </c>
      <c r="M113" s="17" t="s">
        <v>2202</v>
      </c>
      <c r="N113" s="18" t="s">
        <v>2203</v>
      </c>
    </row>
    <row r="114" spans="1:14" ht="25" customHeight="1" x14ac:dyDescent="0.35">
      <c r="A114" s="16" t="s">
        <v>2320</v>
      </c>
      <c r="B114" s="25">
        <v>1</v>
      </c>
      <c r="C114" s="24">
        <v>1</v>
      </c>
      <c r="D114" s="25">
        <v>1</v>
      </c>
      <c r="E114" s="24">
        <v>1</v>
      </c>
      <c r="F114" s="24">
        <v>0.39805499664654592</v>
      </c>
      <c r="G114" s="25">
        <v>78.756539235412475</v>
      </c>
      <c r="H114" s="25">
        <v>86</v>
      </c>
      <c r="I114" s="25">
        <v>86</v>
      </c>
      <c r="J114" s="25">
        <v>86</v>
      </c>
      <c r="K114" s="24">
        <v>0</v>
      </c>
      <c r="L114" s="24">
        <v>0</v>
      </c>
      <c r="M114" s="17" t="s">
        <v>2202</v>
      </c>
      <c r="N114" s="18" t="s">
        <v>2203</v>
      </c>
    </row>
    <row r="115" spans="1:14" ht="25" customHeight="1" x14ac:dyDescent="0.35">
      <c r="A115" s="16" t="s">
        <v>2321</v>
      </c>
      <c r="B115" s="25">
        <v>1</v>
      </c>
      <c r="C115" s="24">
        <v>0</v>
      </c>
      <c r="D115" s="25">
        <v>1</v>
      </c>
      <c r="E115" s="24">
        <v>0</v>
      </c>
      <c r="F115" s="24">
        <v>0.35043594902749831</v>
      </c>
      <c r="G115" s="25">
        <v>74.661301140174388</v>
      </c>
      <c r="H115" s="25">
        <v>0</v>
      </c>
      <c r="I115" s="25">
        <v>0</v>
      </c>
      <c r="J115" s="25">
        <v>0</v>
      </c>
      <c r="K115" s="24">
        <v>0</v>
      </c>
      <c r="L115" s="24">
        <v>0</v>
      </c>
      <c r="M115" s="17" t="s">
        <v>2202</v>
      </c>
      <c r="N115" s="18" t="s">
        <v>2203</v>
      </c>
    </row>
    <row r="116" spans="1:14" ht="25" customHeight="1" x14ac:dyDescent="0.35">
      <c r="A116" s="16" t="s">
        <v>2322</v>
      </c>
      <c r="B116" s="25">
        <v>1</v>
      </c>
      <c r="C116" s="24">
        <v>0</v>
      </c>
      <c r="D116" s="25">
        <v>1</v>
      </c>
      <c r="E116" s="24">
        <v>0</v>
      </c>
      <c r="F116" s="24">
        <v>0.35043594902749831</v>
      </c>
      <c r="G116" s="25">
        <v>74.661301140174388</v>
      </c>
      <c r="H116" s="25">
        <v>0</v>
      </c>
      <c r="I116" s="25">
        <v>0</v>
      </c>
      <c r="J116" s="25">
        <v>0</v>
      </c>
      <c r="K116" s="24">
        <v>0</v>
      </c>
      <c r="L116" s="24">
        <v>0</v>
      </c>
      <c r="M116" s="17" t="s">
        <v>2202</v>
      </c>
      <c r="N116" s="18" t="s">
        <v>2203</v>
      </c>
    </row>
    <row r="117" spans="1:14" ht="25" customHeight="1" x14ac:dyDescent="0.35">
      <c r="A117" s="16" t="s">
        <v>2323</v>
      </c>
      <c r="B117" s="25">
        <v>2</v>
      </c>
      <c r="C117" s="24">
        <v>0.5</v>
      </c>
      <c r="D117" s="25">
        <v>1</v>
      </c>
      <c r="E117" s="24">
        <v>0</v>
      </c>
      <c r="F117" s="24">
        <v>0.35043594902749831</v>
      </c>
      <c r="G117" s="25">
        <v>74.661301140174388</v>
      </c>
      <c r="H117" s="25">
        <v>0</v>
      </c>
      <c r="I117" s="25">
        <v>0</v>
      </c>
      <c r="J117" s="25">
        <v>0</v>
      </c>
      <c r="K117" s="24">
        <v>0</v>
      </c>
      <c r="L117" s="24">
        <v>0</v>
      </c>
      <c r="M117" s="17" t="s">
        <v>2202</v>
      </c>
      <c r="N117" s="18" t="s">
        <v>2203</v>
      </c>
    </row>
    <row r="118" spans="1:14" ht="25" customHeight="1" x14ac:dyDescent="0.35">
      <c r="A118" s="16" t="s">
        <v>991</v>
      </c>
      <c r="B118" s="25">
        <v>1</v>
      </c>
      <c r="C118" s="24">
        <v>0</v>
      </c>
      <c r="D118" s="25">
        <v>1</v>
      </c>
      <c r="E118" s="24">
        <v>0</v>
      </c>
      <c r="F118" s="24">
        <v>0.35043594902749831</v>
      </c>
      <c r="G118" s="25">
        <v>74.661301140174388</v>
      </c>
      <c r="H118" s="25">
        <v>0</v>
      </c>
      <c r="I118" s="25">
        <v>0</v>
      </c>
      <c r="J118" s="25">
        <v>0</v>
      </c>
      <c r="K118" s="24">
        <v>0</v>
      </c>
      <c r="L118" s="24">
        <v>0</v>
      </c>
      <c r="M118" s="17" t="s">
        <v>2202</v>
      </c>
      <c r="N118" s="18" t="s">
        <v>2203</v>
      </c>
    </row>
    <row r="119" spans="1:14" ht="25" customHeight="1" x14ac:dyDescent="0.35">
      <c r="A119" s="16" t="s">
        <v>2324</v>
      </c>
      <c r="B119" s="25">
        <v>1</v>
      </c>
      <c r="C119" s="24">
        <v>0</v>
      </c>
      <c r="D119" s="25">
        <v>1</v>
      </c>
      <c r="E119" s="24">
        <v>0</v>
      </c>
      <c r="F119" s="24">
        <v>0.35043594902749831</v>
      </c>
      <c r="G119" s="25">
        <v>74.661301140174388</v>
      </c>
      <c r="H119" s="25">
        <v>0</v>
      </c>
      <c r="I119" s="25">
        <v>0</v>
      </c>
      <c r="J119" s="25">
        <v>0</v>
      </c>
      <c r="K119" s="24">
        <v>0</v>
      </c>
      <c r="L119" s="24">
        <v>0</v>
      </c>
      <c r="M119" s="17" t="s">
        <v>2202</v>
      </c>
      <c r="N119" s="18" t="s">
        <v>2203</v>
      </c>
    </row>
    <row r="120" spans="1:14" ht="25" customHeight="1" x14ac:dyDescent="0.35">
      <c r="A120" s="16" t="s">
        <v>2325</v>
      </c>
      <c r="B120" s="25">
        <v>1</v>
      </c>
      <c r="C120" s="24">
        <v>0</v>
      </c>
      <c r="D120" s="25">
        <v>1</v>
      </c>
      <c r="E120" s="24">
        <v>0</v>
      </c>
      <c r="F120" s="24">
        <v>0.35043594902749831</v>
      </c>
      <c r="G120" s="25">
        <v>74.661301140174388</v>
      </c>
      <c r="H120" s="25">
        <v>0</v>
      </c>
      <c r="I120" s="25">
        <v>0</v>
      </c>
      <c r="J120" s="25">
        <v>0</v>
      </c>
      <c r="K120" s="24">
        <v>0</v>
      </c>
      <c r="L120" s="24">
        <v>0</v>
      </c>
      <c r="M120" s="17" t="s">
        <v>2202</v>
      </c>
      <c r="N120" s="18" t="s">
        <v>2203</v>
      </c>
    </row>
    <row r="121" spans="1:14" ht="25" customHeight="1" x14ac:dyDescent="0.35">
      <c r="A121" s="16" t="s">
        <v>2326</v>
      </c>
      <c r="B121" s="25">
        <v>1</v>
      </c>
      <c r="C121" s="24">
        <v>0</v>
      </c>
      <c r="D121" s="25">
        <v>1</v>
      </c>
      <c r="E121" s="24">
        <v>0</v>
      </c>
      <c r="F121" s="24">
        <v>0.35043594902749831</v>
      </c>
      <c r="G121" s="25">
        <v>74.661301140174388</v>
      </c>
      <c r="H121" s="25">
        <v>0</v>
      </c>
      <c r="I121" s="25">
        <v>0</v>
      </c>
      <c r="J121" s="25">
        <v>0</v>
      </c>
      <c r="K121" s="24">
        <v>0</v>
      </c>
      <c r="L121" s="24">
        <v>0</v>
      </c>
      <c r="M121" s="17" t="s">
        <v>2202</v>
      </c>
      <c r="N121" s="18" t="s">
        <v>2203</v>
      </c>
    </row>
    <row r="122" spans="1:14" ht="25" customHeight="1" x14ac:dyDescent="0.35">
      <c r="A122" s="16" t="s">
        <v>2327</v>
      </c>
      <c r="B122" s="25">
        <v>2</v>
      </c>
      <c r="C122" s="24">
        <v>0.5</v>
      </c>
      <c r="D122" s="25">
        <v>1</v>
      </c>
      <c r="E122" s="24">
        <v>1</v>
      </c>
      <c r="F122" s="24">
        <v>0.39805499664654592</v>
      </c>
      <c r="G122" s="25">
        <v>77.661301140174388</v>
      </c>
      <c r="H122" s="25">
        <v>63</v>
      </c>
      <c r="I122" s="25">
        <v>63</v>
      </c>
      <c r="J122" s="25">
        <v>63</v>
      </c>
      <c r="K122" s="24">
        <v>0</v>
      </c>
      <c r="L122" s="24">
        <v>0</v>
      </c>
      <c r="M122" s="17" t="s">
        <v>2202</v>
      </c>
      <c r="N122" s="18" t="s">
        <v>2203</v>
      </c>
    </row>
    <row r="123" spans="1:14" ht="25" customHeight="1" x14ac:dyDescent="0.35">
      <c r="A123" s="16" t="s">
        <v>2328</v>
      </c>
      <c r="B123" s="25">
        <v>1</v>
      </c>
      <c r="C123" s="24">
        <v>1</v>
      </c>
      <c r="D123" s="25">
        <v>1</v>
      </c>
      <c r="E123" s="24">
        <v>1</v>
      </c>
      <c r="F123" s="24">
        <v>0.39805499664654592</v>
      </c>
      <c r="G123" s="25">
        <v>93.375586854460096</v>
      </c>
      <c r="H123" s="25">
        <v>393</v>
      </c>
      <c r="I123" s="25">
        <v>393</v>
      </c>
      <c r="J123" s="25">
        <v>393</v>
      </c>
      <c r="K123" s="24">
        <v>1</v>
      </c>
      <c r="L123" s="24">
        <v>1</v>
      </c>
      <c r="M123" s="17" t="s">
        <v>2202</v>
      </c>
      <c r="N123" s="18" t="s">
        <v>2203</v>
      </c>
    </row>
    <row r="124" spans="1:14" ht="25" customHeight="1" x14ac:dyDescent="0.35">
      <c r="A124" s="16" t="s">
        <v>446</v>
      </c>
      <c r="B124" s="25">
        <v>1</v>
      </c>
      <c r="C124" s="24">
        <v>0</v>
      </c>
      <c r="D124" s="25">
        <v>1</v>
      </c>
      <c r="E124" s="24">
        <v>0</v>
      </c>
      <c r="F124" s="24">
        <v>0.35043594902749831</v>
      </c>
      <c r="G124" s="25">
        <v>74.661301140174388</v>
      </c>
      <c r="H124" s="25">
        <v>0</v>
      </c>
      <c r="I124" s="25">
        <v>0</v>
      </c>
      <c r="J124" s="25">
        <v>0</v>
      </c>
      <c r="K124" s="24">
        <v>0</v>
      </c>
      <c r="L124" s="24">
        <v>0</v>
      </c>
      <c r="M124" s="17" t="s">
        <v>2202</v>
      </c>
      <c r="N124" s="18" t="s">
        <v>2203</v>
      </c>
    </row>
    <row r="125" spans="1:14" ht="25" customHeight="1" x14ac:dyDescent="0.35">
      <c r="A125" s="16" t="s">
        <v>2329</v>
      </c>
      <c r="B125" s="25">
        <v>1</v>
      </c>
      <c r="C125" s="24">
        <v>1</v>
      </c>
      <c r="D125" s="25">
        <v>1</v>
      </c>
      <c r="E125" s="24">
        <v>1</v>
      </c>
      <c r="F125" s="24">
        <v>0.39805499664654592</v>
      </c>
      <c r="G125" s="25">
        <v>93.804158283031526</v>
      </c>
      <c r="H125" s="25">
        <v>402</v>
      </c>
      <c r="I125" s="25">
        <v>402</v>
      </c>
      <c r="J125" s="25">
        <v>402</v>
      </c>
      <c r="K125" s="24">
        <v>1</v>
      </c>
      <c r="L125" s="24">
        <v>1</v>
      </c>
      <c r="M125" s="17" t="s">
        <v>2202</v>
      </c>
      <c r="N125" s="18" t="s">
        <v>2203</v>
      </c>
    </row>
    <row r="126" spans="1:14" ht="25" customHeight="1" x14ac:dyDescent="0.35">
      <c r="A126" s="16" t="s">
        <v>2330</v>
      </c>
      <c r="B126" s="25">
        <v>1</v>
      </c>
      <c r="C126" s="24">
        <v>1</v>
      </c>
      <c r="D126" s="25">
        <v>1</v>
      </c>
      <c r="E126" s="24">
        <v>1</v>
      </c>
      <c r="F126" s="24">
        <v>0.39805499664654592</v>
      </c>
      <c r="G126" s="25">
        <v>74.756539235412475</v>
      </c>
      <c r="H126" s="25">
        <v>2</v>
      </c>
      <c r="I126" s="25">
        <v>2</v>
      </c>
      <c r="J126" s="25">
        <v>2</v>
      </c>
      <c r="K126" s="24">
        <v>0</v>
      </c>
      <c r="L126" s="24">
        <v>0</v>
      </c>
      <c r="M126" s="17" t="s">
        <v>2202</v>
      </c>
      <c r="N126" s="18" t="s">
        <v>2203</v>
      </c>
    </row>
    <row r="127" spans="1:14" ht="25" customHeight="1" x14ac:dyDescent="0.35">
      <c r="A127" s="16" t="s">
        <v>2331</v>
      </c>
      <c r="B127" s="25">
        <v>1</v>
      </c>
      <c r="C127" s="24">
        <v>1</v>
      </c>
      <c r="D127" s="25">
        <v>1</v>
      </c>
      <c r="E127" s="24">
        <v>1</v>
      </c>
      <c r="F127" s="24">
        <v>0.39805499664654592</v>
      </c>
      <c r="G127" s="25">
        <v>79.470824949698198</v>
      </c>
      <c r="H127" s="25">
        <v>101</v>
      </c>
      <c r="I127" s="25">
        <v>101</v>
      </c>
      <c r="J127" s="25">
        <v>101</v>
      </c>
      <c r="K127" s="24">
        <v>1</v>
      </c>
      <c r="L127" s="24">
        <v>0</v>
      </c>
      <c r="M127" s="17" t="s">
        <v>2202</v>
      </c>
      <c r="N127" s="18" t="s">
        <v>2203</v>
      </c>
    </row>
    <row r="128" spans="1:14" ht="25" customHeight="1" x14ac:dyDescent="0.35">
      <c r="A128" s="16" t="s">
        <v>1031</v>
      </c>
      <c r="B128" s="25">
        <v>1</v>
      </c>
      <c r="C128" s="24">
        <v>0</v>
      </c>
      <c r="D128" s="25">
        <v>1</v>
      </c>
      <c r="E128" s="24">
        <v>0</v>
      </c>
      <c r="F128" s="24">
        <v>0.35043594902749831</v>
      </c>
      <c r="G128" s="25">
        <v>74.661301140174388</v>
      </c>
      <c r="H128" s="25">
        <v>0</v>
      </c>
      <c r="I128" s="25">
        <v>0</v>
      </c>
      <c r="J128" s="25">
        <v>0</v>
      </c>
      <c r="K128" s="24">
        <v>0</v>
      </c>
      <c r="L128" s="24">
        <v>0</v>
      </c>
      <c r="M128" s="17" t="s">
        <v>2202</v>
      </c>
      <c r="N128" s="18" t="s">
        <v>2203</v>
      </c>
    </row>
    <row r="129" spans="1:14" ht="25" customHeight="1" x14ac:dyDescent="0.35">
      <c r="A129" s="16" t="s">
        <v>2332</v>
      </c>
      <c r="B129" s="25">
        <v>1</v>
      </c>
      <c r="C129" s="24">
        <v>0</v>
      </c>
      <c r="D129" s="25">
        <v>1</v>
      </c>
      <c r="E129" s="24">
        <v>0</v>
      </c>
      <c r="F129" s="24">
        <v>0.35043594902749831</v>
      </c>
      <c r="G129" s="25">
        <v>74.661301140174388</v>
      </c>
      <c r="H129" s="25">
        <v>0</v>
      </c>
      <c r="I129" s="25">
        <v>0</v>
      </c>
      <c r="J129" s="25">
        <v>0</v>
      </c>
      <c r="K129" s="24">
        <v>0</v>
      </c>
      <c r="L129" s="24">
        <v>0</v>
      </c>
      <c r="M129" s="17" t="s">
        <v>2202</v>
      </c>
      <c r="N129" s="18" t="s">
        <v>2203</v>
      </c>
    </row>
    <row r="130" spans="1:14" ht="25" customHeight="1" x14ac:dyDescent="0.35">
      <c r="A130" s="16" t="s">
        <v>2333</v>
      </c>
      <c r="B130" s="25">
        <v>1</v>
      </c>
      <c r="C130" s="24">
        <v>1</v>
      </c>
      <c r="D130" s="25">
        <v>1</v>
      </c>
      <c r="E130" s="24">
        <v>1</v>
      </c>
      <c r="F130" s="24">
        <v>0.39805499664654592</v>
      </c>
      <c r="G130" s="25">
        <v>125.85177733065058</v>
      </c>
      <c r="H130" s="25">
        <v>1075</v>
      </c>
      <c r="I130" s="25">
        <v>1075</v>
      </c>
      <c r="J130" s="25">
        <v>1075</v>
      </c>
      <c r="K130" s="24">
        <v>1</v>
      </c>
      <c r="L130" s="24">
        <v>1</v>
      </c>
      <c r="M130" s="17" t="s">
        <v>2202</v>
      </c>
      <c r="N130" s="18" t="s">
        <v>2203</v>
      </c>
    </row>
    <row r="131" spans="1:14" ht="25" customHeight="1" x14ac:dyDescent="0.35">
      <c r="A131" s="16" t="s">
        <v>2334</v>
      </c>
      <c r="B131" s="25">
        <v>1</v>
      </c>
      <c r="C131" s="24">
        <v>1</v>
      </c>
      <c r="D131" s="25">
        <v>1</v>
      </c>
      <c r="E131" s="24">
        <v>1</v>
      </c>
      <c r="F131" s="24">
        <v>0.39805499664654592</v>
      </c>
      <c r="G131" s="25">
        <v>86.708920187793439</v>
      </c>
      <c r="H131" s="25">
        <v>253</v>
      </c>
      <c r="I131" s="25">
        <v>253</v>
      </c>
      <c r="J131" s="25">
        <v>253</v>
      </c>
      <c r="K131" s="24">
        <v>1</v>
      </c>
      <c r="L131" s="24">
        <v>1</v>
      </c>
      <c r="M131" s="17" t="s">
        <v>2202</v>
      </c>
      <c r="N131" s="18" t="s">
        <v>2203</v>
      </c>
    </row>
    <row r="132" spans="1:14" ht="25" customHeight="1" x14ac:dyDescent="0.35">
      <c r="A132" s="16" t="s">
        <v>2335</v>
      </c>
      <c r="B132" s="25">
        <v>1</v>
      </c>
      <c r="C132" s="24">
        <v>1</v>
      </c>
      <c r="D132" s="25">
        <v>1</v>
      </c>
      <c r="E132" s="24">
        <v>1</v>
      </c>
      <c r="F132" s="24">
        <v>0.39805499664654592</v>
      </c>
      <c r="G132" s="25">
        <v>92.137491616364855</v>
      </c>
      <c r="H132" s="25">
        <v>367</v>
      </c>
      <c r="I132" s="25">
        <v>367</v>
      </c>
      <c r="J132" s="25">
        <v>367</v>
      </c>
      <c r="K132" s="24">
        <v>1</v>
      </c>
      <c r="L132" s="24">
        <v>1</v>
      </c>
      <c r="M132" s="17" t="s">
        <v>2202</v>
      </c>
      <c r="N132" s="18" t="s">
        <v>2203</v>
      </c>
    </row>
    <row r="133" spans="1:14" ht="25" customHeight="1" x14ac:dyDescent="0.35">
      <c r="A133" s="16" t="s">
        <v>2336</v>
      </c>
      <c r="B133" s="25">
        <v>1</v>
      </c>
      <c r="C133" s="24">
        <v>1</v>
      </c>
      <c r="D133" s="25">
        <v>1</v>
      </c>
      <c r="E133" s="24">
        <v>1</v>
      </c>
      <c r="F133" s="24">
        <v>0.39805499664654592</v>
      </c>
      <c r="G133" s="25">
        <v>77.661301140174388</v>
      </c>
      <c r="H133" s="25">
        <v>63</v>
      </c>
      <c r="I133" s="25">
        <v>63</v>
      </c>
      <c r="J133" s="25">
        <v>63</v>
      </c>
      <c r="K133" s="24">
        <v>0</v>
      </c>
      <c r="L133" s="24">
        <v>0</v>
      </c>
      <c r="M133" s="17" t="s">
        <v>2202</v>
      </c>
      <c r="N133" s="18" t="s">
        <v>2203</v>
      </c>
    </row>
    <row r="134" spans="1:14" ht="25" customHeight="1" x14ac:dyDescent="0.35">
      <c r="A134" s="16" t="s">
        <v>2337</v>
      </c>
      <c r="B134" s="25">
        <v>1</v>
      </c>
      <c r="C134" s="24">
        <v>0</v>
      </c>
      <c r="D134" s="25">
        <v>1</v>
      </c>
      <c r="E134" s="24">
        <v>0</v>
      </c>
      <c r="F134" s="24">
        <v>0.35043594902749831</v>
      </c>
      <c r="G134" s="25">
        <v>74.661301140174388</v>
      </c>
      <c r="H134" s="25">
        <v>0</v>
      </c>
      <c r="I134" s="25">
        <v>0</v>
      </c>
      <c r="J134" s="25">
        <v>0</v>
      </c>
      <c r="K134" s="24">
        <v>0</v>
      </c>
      <c r="L134" s="24">
        <v>0</v>
      </c>
      <c r="M134" s="17" t="s">
        <v>2202</v>
      </c>
      <c r="N134" s="18" t="s">
        <v>2203</v>
      </c>
    </row>
    <row r="135" spans="1:14" ht="25" customHeight="1" x14ac:dyDescent="0.35">
      <c r="A135" s="16" t="s">
        <v>2338</v>
      </c>
      <c r="B135" s="25">
        <v>1</v>
      </c>
      <c r="C135" s="24">
        <v>0</v>
      </c>
      <c r="D135" s="25">
        <v>1</v>
      </c>
      <c r="E135" s="24">
        <v>0</v>
      </c>
      <c r="F135" s="24">
        <v>0.35043594902749831</v>
      </c>
      <c r="G135" s="25">
        <v>74.661301140174388</v>
      </c>
      <c r="H135" s="25">
        <v>0</v>
      </c>
      <c r="I135" s="25">
        <v>0</v>
      </c>
      <c r="J135" s="25">
        <v>0</v>
      </c>
      <c r="K135" s="24">
        <v>0</v>
      </c>
      <c r="L135" s="24">
        <v>0</v>
      </c>
      <c r="M135" s="17" t="s">
        <v>2202</v>
      </c>
      <c r="N135" s="18" t="s">
        <v>2203</v>
      </c>
    </row>
    <row r="136" spans="1:14" ht="25" customHeight="1" x14ac:dyDescent="0.35">
      <c r="A136" s="16" t="s">
        <v>2339</v>
      </c>
      <c r="B136" s="25">
        <v>2</v>
      </c>
      <c r="C136" s="24">
        <v>0.5</v>
      </c>
      <c r="D136" s="25">
        <v>1</v>
      </c>
      <c r="E136" s="24">
        <v>1</v>
      </c>
      <c r="F136" s="24">
        <v>0.39805499664654592</v>
      </c>
      <c r="G136" s="25">
        <v>120.23272971160296</v>
      </c>
      <c r="H136" s="25">
        <v>957</v>
      </c>
      <c r="I136" s="25">
        <v>957</v>
      </c>
      <c r="J136" s="25">
        <v>957</v>
      </c>
      <c r="K136" s="24">
        <v>1</v>
      </c>
      <c r="L136" s="24">
        <v>1</v>
      </c>
      <c r="M136" s="17" t="s">
        <v>2202</v>
      </c>
      <c r="N136" s="18" t="s">
        <v>2203</v>
      </c>
    </row>
    <row r="137" spans="1:14" ht="25" customHeight="1" x14ac:dyDescent="0.35">
      <c r="A137" s="16" t="s">
        <v>2340</v>
      </c>
      <c r="B137" s="25">
        <v>1</v>
      </c>
      <c r="C137" s="24">
        <v>1</v>
      </c>
      <c r="D137" s="25">
        <v>1</v>
      </c>
      <c r="E137" s="24">
        <v>1</v>
      </c>
      <c r="F137" s="24">
        <v>0.39805499664654592</v>
      </c>
      <c r="G137" s="25">
        <v>91.566063044936286</v>
      </c>
      <c r="H137" s="25">
        <v>355</v>
      </c>
      <c r="I137" s="25">
        <v>355</v>
      </c>
      <c r="J137" s="25">
        <v>355</v>
      </c>
      <c r="K137" s="24">
        <v>1</v>
      </c>
      <c r="L137" s="24">
        <v>1</v>
      </c>
      <c r="M137" s="17" t="s">
        <v>2202</v>
      </c>
      <c r="N137" s="18" t="s">
        <v>2203</v>
      </c>
    </row>
    <row r="138" spans="1:14" ht="25" customHeight="1" x14ac:dyDescent="0.35">
      <c r="A138" s="16" t="s">
        <v>2341</v>
      </c>
      <c r="B138" s="25">
        <v>1</v>
      </c>
      <c r="C138" s="24">
        <v>0</v>
      </c>
      <c r="D138" s="25">
        <v>1</v>
      </c>
      <c r="E138" s="24">
        <v>0</v>
      </c>
      <c r="F138" s="24">
        <v>0.35043594902749831</v>
      </c>
      <c r="G138" s="25">
        <v>74.661301140174388</v>
      </c>
      <c r="H138" s="25">
        <v>0</v>
      </c>
      <c r="I138" s="25">
        <v>0</v>
      </c>
      <c r="J138" s="25">
        <v>0</v>
      </c>
      <c r="K138" s="24">
        <v>0</v>
      </c>
      <c r="L138" s="24">
        <v>0</v>
      </c>
      <c r="M138" s="17" t="s">
        <v>2202</v>
      </c>
      <c r="N138" s="18" t="s">
        <v>2203</v>
      </c>
    </row>
    <row r="139" spans="1:14" ht="25" customHeight="1" x14ac:dyDescent="0.35">
      <c r="A139" s="16" t="s">
        <v>2342</v>
      </c>
      <c r="B139" s="25">
        <v>3</v>
      </c>
      <c r="C139" s="24">
        <v>0.33333333333333331</v>
      </c>
      <c r="D139" s="25">
        <v>1</v>
      </c>
      <c r="E139" s="24">
        <v>0</v>
      </c>
      <c r="F139" s="24">
        <v>0.35043594902749831</v>
      </c>
      <c r="G139" s="25">
        <v>74.661301140174388</v>
      </c>
      <c r="H139" s="25">
        <v>0</v>
      </c>
      <c r="I139" s="25">
        <v>0</v>
      </c>
      <c r="J139" s="25">
        <v>0</v>
      </c>
      <c r="K139" s="24">
        <v>0</v>
      </c>
      <c r="L139" s="24">
        <v>0</v>
      </c>
      <c r="M139" s="17" t="s">
        <v>2202</v>
      </c>
      <c r="N139" s="18" t="s">
        <v>2203</v>
      </c>
    </row>
    <row r="140" spans="1:14" ht="25" customHeight="1" x14ac:dyDescent="0.35">
      <c r="A140" s="16" t="s">
        <v>2343</v>
      </c>
      <c r="B140" s="25">
        <v>1</v>
      </c>
      <c r="C140" s="24">
        <v>0</v>
      </c>
      <c r="D140" s="25">
        <v>1</v>
      </c>
      <c r="E140" s="24">
        <v>0</v>
      </c>
      <c r="F140" s="24">
        <v>0.35043594902749831</v>
      </c>
      <c r="G140" s="25">
        <v>74.661301140174388</v>
      </c>
      <c r="H140" s="25">
        <v>0</v>
      </c>
      <c r="I140" s="25">
        <v>0</v>
      </c>
      <c r="J140" s="25">
        <v>0</v>
      </c>
      <c r="K140" s="24">
        <v>0</v>
      </c>
      <c r="L140" s="24">
        <v>0</v>
      </c>
      <c r="M140" s="17" t="s">
        <v>2202</v>
      </c>
      <c r="N140" s="18" t="s">
        <v>2203</v>
      </c>
    </row>
    <row r="141" spans="1:14" ht="25" customHeight="1" x14ac:dyDescent="0.35">
      <c r="A141" s="16" t="s">
        <v>2344</v>
      </c>
      <c r="B141" s="25">
        <v>1</v>
      </c>
      <c r="C141" s="24">
        <v>0</v>
      </c>
      <c r="D141" s="25">
        <v>1</v>
      </c>
      <c r="E141" s="24">
        <v>0</v>
      </c>
      <c r="F141" s="24">
        <v>0.35043594902749831</v>
      </c>
      <c r="G141" s="25">
        <v>74.661301140174388</v>
      </c>
      <c r="H141" s="25">
        <v>0</v>
      </c>
      <c r="I141" s="25">
        <v>0</v>
      </c>
      <c r="J141" s="25">
        <v>0</v>
      </c>
      <c r="K141" s="24">
        <v>0</v>
      </c>
      <c r="L141" s="24">
        <v>0</v>
      </c>
      <c r="M141" s="17" t="s">
        <v>2202</v>
      </c>
      <c r="N141" s="18" t="s">
        <v>2203</v>
      </c>
    </row>
    <row r="142" spans="1:14" ht="25" customHeight="1" x14ac:dyDescent="0.35">
      <c r="A142" s="16" t="s">
        <v>2345</v>
      </c>
      <c r="B142" s="25">
        <v>1</v>
      </c>
      <c r="C142" s="24">
        <v>0</v>
      </c>
      <c r="D142" s="25">
        <v>1</v>
      </c>
      <c r="E142" s="24">
        <v>0</v>
      </c>
      <c r="F142" s="24">
        <v>0.35043594902749831</v>
      </c>
      <c r="G142" s="25">
        <v>74.661301140174388</v>
      </c>
      <c r="H142" s="25">
        <v>0</v>
      </c>
      <c r="I142" s="25">
        <v>0</v>
      </c>
      <c r="J142" s="25">
        <v>0</v>
      </c>
      <c r="K142" s="24">
        <v>0</v>
      </c>
      <c r="L142" s="24">
        <v>0</v>
      </c>
      <c r="M142" s="17" t="s">
        <v>2202</v>
      </c>
      <c r="N142" s="18" t="s">
        <v>2203</v>
      </c>
    </row>
    <row r="143" spans="1:14" ht="25" customHeight="1" x14ac:dyDescent="0.35">
      <c r="A143" s="16" t="s">
        <v>290</v>
      </c>
      <c r="B143" s="25">
        <v>1</v>
      </c>
      <c r="C143" s="24">
        <v>0</v>
      </c>
      <c r="D143" s="25">
        <v>1</v>
      </c>
      <c r="E143" s="24">
        <v>0</v>
      </c>
      <c r="F143" s="24">
        <v>0.35043594902749831</v>
      </c>
      <c r="G143" s="25">
        <v>74.661301140174388</v>
      </c>
      <c r="H143" s="25">
        <v>0</v>
      </c>
      <c r="I143" s="25">
        <v>0</v>
      </c>
      <c r="J143" s="25">
        <v>0</v>
      </c>
      <c r="K143" s="24">
        <v>0</v>
      </c>
      <c r="L143" s="24">
        <v>0</v>
      </c>
      <c r="M143" s="17" t="s">
        <v>2202</v>
      </c>
      <c r="N143" s="18" t="s">
        <v>2203</v>
      </c>
    </row>
    <row r="144" spans="1:14" ht="25" customHeight="1" x14ac:dyDescent="0.35">
      <c r="A144" s="16" t="s">
        <v>2346</v>
      </c>
      <c r="B144" s="25">
        <v>3</v>
      </c>
      <c r="C144" s="24">
        <v>1</v>
      </c>
      <c r="D144" s="25">
        <v>1</v>
      </c>
      <c r="E144" s="24">
        <v>1</v>
      </c>
      <c r="F144" s="24">
        <v>0.39805499664654592</v>
      </c>
      <c r="G144" s="25">
        <v>128.99463447350772</v>
      </c>
      <c r="H144" s="25">
        <v>1141</v>
      </c>
      <c r="I144" s="25">
        <v>1141</v>
      </c>
      <c r="J144" s="25">
        <v>1141</v>
      </c>
      <c r="K144" s="24">
        <v>1</v>
      </c>
      <c r="L144" s="24">
        <v>1</v>
      </c>
      <c r="M144" s="17" t="s">
        <v>2202</v>
      </c>
      <c r="N144" s="18" t="s">
        <v>2203</v>
      </c>
    </row>
    <row r="145" spans="1:14" ht="25" customHeight="1" x14ac:dyDescent="0.35">
      <c r="A145" s="16" t="s">
        <v>2347</v>
      </c>
      <c r="B145" s="25">
        <v>1</v>
      </c>
      <c r="C145" s="24">
        <v>1</v>
      </c>
      <c r="D145" s="25">
        <v>1</v>
      </c>
      <c r="E145" s="24">
        <v>1</v>
      </c>
      <c r="F145" s="24">
        <v>0.39805499664654592</v>
      </c>
      <c r="G145" s="25">
        <v>84.708920187793439</v>
      </c>
      <c r="H145" s="25">
        <v>211</v>
      </c>
      <c r="I145" s="25">
        <v>211</v>
      </c>
      <c r="J145" s="25">
        <v>211</v>
      </c>
      <c r="K145" s="24">
        <v>1</v>
      </c>
      <c r="L145" s="24">
        <v>1</v>
      </c>
      <c r="M145" s="17" t="s">
        <v>2202</v>
      </c>
      <c r="N145" s="18" t="s">
        <v>2203</v>
      </c>
    </row>
    <row r="146" spans="1:14" ht="25" customHeight="1" x14ac:dyDescent="0.35">
      <c r="A146" s="16" t="s">
        <v>2348</v>
      </c>
      <c r="B146" s="25">
        <v>2</v>
      </c>
      <c r="C146" s="24">
        <v>0</v>
      </c>
      <c r="D146" s="25">
        <v>1</v>
      </c>
      <c r="E146" s="24">
        <v>0</v>
      </c>
      <c r="F146" s="24">
        <v>0.35043594902749831</v>
      </c>
      <c r="G146" s="25">
        <v>74.661301140174388</v>
      </c>
      <c r="H146" s="25">
        <v>0</v>
      </c>
      <c r="I146" s="25">
        <v>0</v>
      </c>
      <c r="J146" s="25">
        <v>0</v>
      </c>
      <c r="K146" s="24">
        <v>0</v>
      </c>
      <c r="L146" s="24">
        <v>0</v>
      </c>
      <c r="M146" s="17" t="s">
        <v>2202</v>
      </c>
      <c r="N146" s="18" t="s">
        <v>2203</v>
      </c>
    </row>
    <row r="147" spans="1:14" ht="25" customHeight="1" x14ac:dyDescent="0.35">
      <c r="A147" s="16" t="s">
        <v>2349</v>
      </c>
      <c r="B147" s="25">
        <v>1</v>
      </c>
      <c r="C147" s="24">
        <v>1</v>
      </c>
      <c r="D147" s="25">
        <v>1</v>
      </c>
      <c r="E147" s="24">
        <v>1</v>
      </c>
      <c r="F147" s="24">
        <v>0.39805499664654592</v>
      </c>
      <c r="G147" s="25">
        <v>77.994634473507716</v>
      </c>
      <c r="H147" s="25">
        <v>70</v>
      </c>
      <c r="I147" s="25">
        <v>70</v>
      </c>
      <c r="J147" s="25">
        <v>70</v>
      </c>
      <c r="K147" s="24">
        <v>0</v>
      </c>
      <c r="L147" s="24">
        <v>0</v>
      </c>
      <c r="M147" s="17" t="s">
        <v>2202</v>
      </c>
      <c r="N147" s="18" t="s">
        <v>2203</v>
      </c>
    </row>
    <row r="148" spans="1:14" ht="25" customHeight="1" x14ac:dyDescent="0.35">
      <c r="A148" s="16" t="s">
        <v>2350</v>
      </c>
      <c r="B148" s="25">
        <v>1</v>
      </c>
      <c r="C148" s="24">
        <v>1</v>
      </c>
      <c r="D148" s="25">
        <v>1</v>
      </c>
      <c r="E148" s="24">
        <v>1</v>
      </c>
      <c r="F148" s="24">
        <v>0.39805499664654592</v>
      </c>
      <c r="G148" s="25">
        <v>76.566063044936286</v>
      </c>
      <c r="H148" s="25">
        <v>40</v>
      </c>
      <c r="I148" s="25">
        <v>40</v>
      </c>
      <c r="J148" s="25">
        <v>40</v>
      </c>
      <c r="K148" s="24">
        <v>0</v>
      </c>
      <c r="L148" s="24">
        <v>0</v>
      </c>
      <c r="M148" s="17" t="s">
        <v>2202</v>
      </c>
      <c r="N148" s="18" t="s">
        <v>2203</v>
      </c>
    </row>
    <row r="149" spans="1:14" ht="25" customHeight="1" x14ac:dyDescent="0.35">
      <c r="A149" s="16" t="s">
        <v>2351</v>
      </c>
      <c r="B149" s="25">
        <v>1</v>
      </c>
      <c r="C149" s="24">
        <v>1</v>
      </c>
      <c r="D149" s="25">
        <v>1</v>
      </c>
      <c r="E149" s="24">
        <v>1</v>
      </c>
      <c r="F149" s="24">
        <v>0.39805499664654592</v>
      </c>
      <c r="G149" s="25">
        <v>77.089872568745818</v>
      </c>
      <c r="H149" s="25">
        <v>51</v>
      </c>
      <c r="I149" s="25">
        <v>51</v>
      </c>
      <c r="J149" s="25">
        <v>51</v>
      </c>
      <c r="K149" s="24">
        <v>0</v>
      </c>
      <c r="L149" s="24">
        <v>0</v>
      </c>
      <c r="M149" s="17" t="s">
        <v>2202</v>
      </c>
      <c r="N149" s="18" t="s">
        <v>2203</v>
      </c>
    </row>
    <row r="150" spans="1:14" ht="25" customHeight="1" x14ac:dyDescent="0.35">
      <c r="A150" s="16" t="s">
        <v>2352</v>
      </c>
      <c r="B150" s="25">
        <v>5</v>
      </c>
      <c r="C150" s="24">
        <v>0.6</v>
      </c>
      <c r="D150" s="25">
        <v>1</v>
      </c>
      <c r="E150" s="24">
        <v>1</v>
      </c>
      <c r="F150" s="24">
        <v>0.39805499664654592</v>
      </c>
      <c r="G150" s="25">
        <v>75.756539235412475</v>
      </c>
      <c r="H150" s="25">
        <v>23</v>
      </c>
      <c r="I150" s="25">
        <v>23</v>
      </c>
      <c r="J150" s="25">
        <v>23</v>
      </c>
      <c r="K150" s="24">
        <v>0</v>
      </c>
      <c r="L150" s="24">
        <v>0</v>
      </c>
      <c r="M150" s="17" t="s">
        <v>2202</v>
      </c>
      <c r="N150" s="18" t="s">
        <v>2203</v>
      </c>
    </row>
    <row r="151" spans="1:14" ht="25" customHeight="1" x14ac:dyDescent="0.35">
      <c r="A151" s="16" t="s">
        <v>2353</v>
      </c>
      <c r="B151" s="25">
        <v>1</v>
      </c>
      <c r="C151" s="24">
        <v>0</v>
      </c>
      <c r="D151" s="25">
        <v>1</v>
      </c>
      <c r="E151" s="24">
        <v>0</v>
      </c>
      <c r="F151" s="24">
        <v>0.35043594902749831</v>
      </c>
      <c r="G151" s="25">
        <v>74.661301140174388</v>
      </c>
      <c r="H151" s="25">
        <v>0</v>
      </c>
      <c r="I151" s="25">
        <v>0</v>
      </c>
      <c r="J151" s="25">
        <v>0</v>
      </c>
      <c r="K151" s="24">
        <v>0</v>
      </c>
      <c r="L151" s="24">
        <v>0</v>
      </c>
      <c r="M151" s="17" t="s">
        <v>2202</v>
      </c>
      <c r="N151" s="18" t="s">
        <v>2203</v>
      </c>
    </row>
    <row r="152" spans="1:14" ht="25" customHeight="1" x14ac:dyDescent="0.35">
      <c r="A152" s="16" t="s">
        <v>2354</v>
      </c>
      <c r="B152" s="25">
        <v>1</v>
      </c>
      <c r="C152" s="24">
        <v>0</v>
      </c>
      <c r="D152" s="25">
        <v>1</v>
      </c>
      <c r="E152" s="24">
        <v>0</v>
      </c>
      <c r="F152" s="24">
        <v>0.35043594902749831</v>
      </c>
      <c r="G152" s="25">
        <v>74.661301140174388</v>
      </c>
      <c r="H152" s="25">
        <v>0</v>
      </c>
      <c r="I152" s="25">
        <v>0</v>
      </c>
      <c r="J152" s="25">
        <v>0</v>
      </c>
      <c r="K152" s="24">
        <v>0</v>
      </c>
      <c r="L152" s="24">
        <v>0</v>
      </c>
      <c r="M152" s="17" t="s">
        <v>2202</v>
      </c>
      <c r="N152" s="18" t="s">
        <v>2203</v>
      </c>
    </row>
    <row r="153" spans="1:14" ht="25" customHeight="1" x14ac:dyDescent="0.35">
      <c r="A153" s="16" t="s">
        <v>2355</v>
      </c>
      <c r="B153" s="25">
        <v>3</v>
      </c>
      <c r="C153" s="24">
        <v>0.33333333333333331</v>
      </c>
      <c r="D153" s="25">
        <v>1</v>
      </c>
      <c r="E153" s="24">
        <v>0</v>
      </c>
      <c r="F153" s="24">
        <v>0.35043594902749831</v>
      </c>
      <c r="G153" s="25">
        <v>74.661301140174388</v>
      </c>
      <c r="H153" s="25">
        <v>0</v>
      </c>
      <c r="I153" s="25">
        <v>0</v>
      </c>
      <c r="J153" s="25">
        <v>0</v>
      </c>
      <c r="K153" s="24">
        <v>0</v>
      </c>
      <c r="L153" s="24">
        <v>0</v>
      </c>
      <c r="M153" s="17" t="s">
        <v>2202</v>
      </c>
      <c r="N153" s="18" t="s">
        <v>2203</v>
      </c>
    </row>
    <row r="154" spans="1:14" ht="25" customHeight="1" x14ac:dyDescent="0.35">
      <c r="A154" s="16" t="s">
        <v>2356</v>
      </c>
      <c r="B154" s="25">
        <v>1</v>
      </c>
      <c r="C154" s="24">
        <v>0</v>
      </c>
      <c r="D154" s="25">
        <v>1</v>
      </c>
      <c r="E154" s="24">
        <v>0</v>
      </c>
      <c r="F154" s="24">
        <v>0.35043594902749831</v>
      </c>
      <c r="G154" s="25">
        <v>74.661301140174388</v>
      </c>
      <c r="H154" s="25">
        <v>0</v>
      </c>
      <c r="I154" s="25">
        <v>0</v>
      </c>
      <c r="J154" s="25">
        <v>0</v>
      </c>
      <c r="K154" s="24">
        <v>0</v>
      </c>
      <c r="L154" s="24">
        <v>0</v>
      </c>
      <c r="M154" s="17" t="s">
        <v>2202</v>
      </c>
      <c r="N154" s="18" t="s">
        <v>2203</v>
      </c>
    </row>
    <row r="155" spans="1:14" ht="25" customHeight="1" x14ac:dyDescent="0.35">
      <c r="A155" s="16" t="s">
        <v>2357</v>
      </c>
      <c r="B155" s="25">
        <v>1</v>
      </c>
      <c r="C155" s="24">
        <v>0</v>
      </c>
      <c r="D155" s="25">
        <v>1</v>
      </c>
      <c r="E155" s="24">
        <v>0</v>
      </c>
      <c r="F155" s="24">
        <v>0.35043594902749831</v>
      </c>
      <c r="G155" s="25">
        <v>74.661301140174388</v>
      </c>
      <c r="H155" s="25">
        <v>0</v>
      </c>
      <c r="I155" s="25">
        <v>0</v>
      </c>
      <c r="J155" s="25">
        <v>0</v>
      </c>
      <c r="K155" s="24">
        <v>0</v>
      </c>
      <c r="L155" s="24">
        <v>0</v>
      </c>
      <c r="M155" s="17" t="s">
        <v>2202</v>
      </c>
      <c r="N155" s="18" t="s">
        <v>2203</v>
      </c>
    </row>
    <row r="156" spans="1:14" ht="25" customHeight="1" x14ac:dyDescent="0.35">
      <c r="A156" s="16" t="s">
        <v>2358</v>
      </c>
      <c r="B156" s="25">
        <v>1</v>
      </c>
      <c r="C156" s="24">
        <v>1</v>
      </c>
      <c r="D156" s="25">
        <v>1</v>
      </c>
      <c r="E156" s="24">
        <v>1</v>
      </c>
      <c r="F156" s="24">
        <v>0.39805499664654592</v>
      </c>
      <c r="G156" s="25">
        <v>83.661301140174388</v>
      </c>
      <c r="H156" s="25">
        <v>189</v>
      </c>
      <c r="I156" s="25">
        <v>189</v>
      </c>
      <c r="J156" s="25">
        <v>189</v>
      </c>
      <c r="K156" s="24">
        <v>1</v>
      </c>
      <c r="L156" s="24">
        <v>1</v>
      </c>
      <c r="M156" s="17" t="s">
        <v>2202</v>
      </c>
      <c r="N156" s="18" t="s">
        <v>2203</v>
      </c>
    </row>
    <row r="157" spans="1:14" ht="25" customHeight="1" x14ac:dyDescent="0.35">
      <c r="A157" s="16" t="s">
        <v>2359</v>
      </c>
      <c r="B157" s="25">
        <v>2</v>
      </c>
      <c r="C157" s="24">
        <v>0.5</v>
      </c>
      <c r="D157" s="25">
        <v>1</v>
      </c>
      <c r="E157" s="24">
        <v>0</v>
      </c>
      <c r="F157" s="24">
        <v>0.35043594902749831</v>
      </c>
      <c r="G157" s="25">
        <v>74.661301140174388</v>
      </c>
      <c r="H157" s="25">
        <v>0</v>
      </c>
      <c r="I157" s="25">
        <v>0</v>
      </c>
      <c r="J157" s="25">
        <v>0</v>
      </c>
      <c r="K157" s="24">
        <v>0</v>
      </c>
      <c r="L157" s="24">
        <v>0</v>
      </c>
      <c r="M157" s="17" t="s">
        <v>2202</v>
      </c>
      <c r="N157" s="18" t="s">
        <v>2203</v>
      </c>
    </row>
    <row r="158" spans="1:14" ht="25" customHeight="1" x14ac:dyDescent="0.35">
      <c r="A158" s="16" t="s">
        <v>2360</v>
      </c>
      <c r="B158" s="25">
        <v>1</v>
      </c>
      <c r="C158" s="24">
        <v>0</v>
      </c>
      <c r="D158" s="25">
        <v>1</v>
      </c>
      <c r="E158" s="24">
        <v>0</v>
      </c>
      <c r="F158" s="24">
        <v>0.35043594902749831</v>
      </c>
      <c r="G158" s="25">
        <v>74.661301140174388</v>
      </c>
      <c r="H158" s="25">
        <v>0</v>
      </c>
      <c r="I158" s="25">
        <v>0</v>
      </c>
      <c r="J158" s="25">
        <v>0</v>
      </c>
      <c r="K158" s="24">
        <v>0</v>
      </c>
      <c r="L158" s="24">
        <v>0</v>
      </c>
      <c r="M158" s="17" t="s">
        <v>2202</v>
      </c>
      <c r="N158" s="18" t="s">
        <v>2203</v>
      </c>
    </row>
    <row r="159" spans="1:14" ht="25" customHeight="1" x14ac:dyDescent="0.35">
      <c r="A159" s="16" t="s">
        <v>2361</v>
      </c>
      <c r="B159" s="25">
        <v>1</v>
      </c>
      <c r="C159" s="24">
        <v>0</v>
      </c>
      <c r="D159" s="25">
        <v>1</v>
      </c>
      <c r="E159" s="24">
        <v>0</v>
      </c>
      <c r="F159" s="24">
        <v>0.35043594902749831</v>
      </c>
      <c r="G159" s="25">
        <v>74.661301140174388</v>
      </c>
      <c r="H159" s="25">
        <v>0</v>
      </c>
      <c r="I159" s="25">
        <v>0</v>
      </c>
      <c r="J159" s="25">
        <v>0</v>
      </c>
      <c r="K159" s="24">
        <v>0</v>
      </c>
      <c r="L159" s="24">
        <v>0</v>
      </c>
      <c r="M159" s="17" t="s">
        <v>2202</v>
      </c>
      <c r="N159" s="18" t="s">
        <v>2203</v>
      </c>
    </row>
    <row r="160" spans="1:14" ht="25" customHeight="1" x14ac:dyDescent="0.35">
      <c r="A160" s="16" t="s">
        <v>2362</v>
      </c>
      <c r="B160" s="25">
        <v>1</v>
      </c>
      <c r="C160" s="24">
        <v>0</v>
      </c>
      <c r="D160" s="25">
        <v>1</v>
      </c>
      <c r="E160" s="24">
        <v>0</v>
      </c>
      <c r="F160" s="24">
        <v>0.35043594902749831</v>
      </c>
      <c r="G160" s="25">
        <v>74.661301140174388</v>
      </c>
      <c r="H160" s="25">
        <v>0</v>
      </c>
      <c r="I160" s="25">
        <v>0</v>
      </c>
      <c r="J160" s="25">
        <v>0</v>
      </c>
      <c r="K160" s="24">
        <v>0</v>
      </c>
      <c r="L160" s="24">
        <v>0</v>
      </c>
      <c r="M160" s="17" t="s">
        <v>2202</v>
      </c>
      <c r="N160" s="18" t="s">
        <v>2203</v>
      </c>
    </row>
    <row r="161" spans="1:14" ht="25" customHeight="1" x14ac:dyDescent="0.35">
      <c r="A161" s="16" t="s">
        <v>2363</v>
      </c>
      <c r="B161" s="25">
        <v>1</v>
      </c>
      <c r="C161" s="24">
        <v>0</v>
      </c>
      <c r="D161" s="25">
        <v>1</v>
      </c>
      <c r="E161" s="24">
        <v>0</v>
      </c>
      <c r="F161" s="24">
        <v>0.35043594902749831</v>
      </c>
      <c r="G161" s="25">
        <v>74.661301140174388</v>
      </c>
      <c r="H161" s="25">
        <v>0</v>
      </c>
      <c r="I161" s="25">
        <v>0</v>
      </c>
      <c r="J161" s="25">
        <v>0</v>
      </c>
      <c r="K161" s="24">
        <v>0</v>
      </c>
      <c r="L161" s="24">
        <v>0</v>
      </c>
      <c r="M161" s="17" t="s">
        <v>2202</v>
      </c>
      <c r="N161" s="18" t="s">
        <v>2203</v>
      </c>
    </row>
    <row r="162" spans="1:14" ht="25" customHeight="1" x14ac:dyDescent="0.35">
      <c r="A162" s="16" t="s">
        <v>2364</v>
      </c>
      <c r="B162" s="25">
        <v>1</v>
      </c>
      <c r="C162" s="24">
        <v>1</v>
      </c>
      <c r="D162" s="25">
        <v>1</v>
      </c>
      <c r="E162" s="24">
        <v>1</v>
      </c>
      <c r="F162" s="24">
        <v>0.39805499664654592</v>
      </c>
      <c r="G162" s="25">
        <v>77.994634473507716</v>
      </c>
      <c r="H162" s="25">
        <v>70</v>
      </c>
      <c r="I162" s="25">
        <v>70</v>
      </c>
      <c r="J162" s="25">
        <v>70</v>
      </c>
      <c r="K162" s="24">
        <v>0</v>
      </c>
      <c r="L162" s="24">
        <v>0</v>
      </c>
      <c r="M162" s="17" t="s">
        <v>2202</v>
      </c>
      <c r="N162" s="18" t="s">
        <v>2203</v>
      </c>
    </row>
    <row r="163" spans="1:14" ht="25" customHeight="1" x14ac:dyDescent="0.35">
      <c r="A163" s="16" t="s">
        <v>2365</v>
      </c>
      <c r="B163" s="25">
        <v>1</v>
      </c>
      <c r="C163" s="24">
        <v>1</v>
      </c>
      <c r="D163" s="25">
        <v>1</v>
      </c>
      <c r="E163" s="24">
        <v>1</v>
      </c>
      <c r="F163" s="24">
        <v>0.39805499664654592</v>
      </c>
      <c r="G163" s="25">
        <v>126.42320590207915</v>
      </c>
      <c r="H163" s="25">
        <v>1087</v>
      </c>
      <c r="I163" s="25">
        <v>1087</v>
      </c>
      <c r="J163" s="25">
        <v>1087</v>
      </c>
      <c r="K163" s="24">
        <v>1</v>
      </c>
      <c r="L163" s="24">
        <v>1</v>
      </c>
      <c r="M163" s="17" t="s">
        <v>2202</v>
      </c>
      <c r="N163" s="18" t="s">
        <v>2203</v>
      </c>
    </row>
    <row r="164" spans="1:14" ht="25" customHeight="1" x14ac:dyDescent="0.35">
      <c r="A164" s="16" t="s">
        <v>2366</v>
      </c>
      <c r="B164" s="25">
        <v>1</v>
      </c>
      <c r="C164" s="24">
        <v>0</v>
      </c>
      <c r="D164" s="25">
        <v>1</v>
      </c>
      <c r="E164" s="24">
        <v>0</v>
      </c>
      <c r="F164" s="24">
        <v>0.35043594902749831</v>
      </c>
      <c r="G164" s="25">
        <v>74.661301140174388</v>
      </c>
      <c r="H164" s="25">
        <v>0</v>
      </c>
      <c r="I164" s="25">
        <v>0</v>
      </c>
      <c r="J164" s="25">
        <v>0</v>
      </c>
      <c r="K164" s="24">
        <v>0</v>
      </c>
      <c r="L164" s="24">
        <v>0</v>
      </c>
      <c r="M164" s="17" t="s">
        <v>2202</v>
      </c>
      <c r="N164" s="18" t="s">
        <v>2203</v>
      </c>
    </row>
    <row r="165" spans="1:14" ht="25" customHeight="1" x14ac:dyDescent="0.35">
      <c r="A165" s="16" t="s">
        <v>2367</v>
      </c>
      <c r="B165" s="25">
        <v>1</v>
      </c>
      <c r="C165" s="24">
        <v>0</v>
      </c>
      <c r="D165" s="25">
        <v>1</v>
      </c>
      <c r="E165" s="24">
        <v>0</v>
      </c>
      <c r="F165" s="24">
        <v>0.35043594902749831</v>
      </c>
      <c r="G165" s="25">
        <v>74.661301140174388</v>
      </c>
      <c r="H165" s="25">
        <v>0</v>
      </c>
      <c r="I165" s="25">
        <v>0</v>
      </c>
      <c r="J165" s="25">
        <v>0</v>
      </c>
      <c r="K165" s="24">
        <v>0</v>
      </c>
      <c r="L165" s="24">
        <v>0</v>
      </c>
      <c r="M165" s="17" t="s">
        <v>2202</v>
      </c>
      <c r="N165" s="18" t="s">
        <v>2203</v>
      </c>
    </row>
    <row r="166" spans="1:14" ht="25" customHeight="1" x14ac:dyDescent="0.35">
      <c r="A166" s="16" t="s">
        <v>2368</v>
      </c>
      <c r="B166" s="25">
        <v>1</v>
      </c>
      <c r="C166" s="24">
        <v>1</v>
      </c>
      <c r="D166" s="25">
        <v>1</v>
      </c>
      <c r="E166" s="24">
        <v>1</v>
      </c>
      <c r="F166" s="24">
        <v>0.39805499664654592</v>
      </c>
      <c r="G166" s="25">
        <v>77.566063044936286</v>
      </c>
      <c r="H166" s="25">
        <v>61</v>
      </c>
      <c r="I166" s="25">
        <v>61</v>
      </c>
      <c r="J166" s="25">
        <v>61</v>
      </c>
      <c r="K166" s="24">
        <v>0</v>
      </c>
      <c r="L166" s="24">
        <v>0</v>
      </c>
      <c r="M166" s="17" t="s">
        <v>2202</v>
      </c>
      <c r="N166" s="18" t="s">
        <v>2203</v>
      </c>
    </row>
    <row r="167" spans="1:14" ht="25" customHeight="1" x14ac:dyDescent="0.35">
      <c r="A167" s="16" t="s">
        <v>2369</v>
      </c>
      <c r="B167" s="25">
        <v>1</v>
      </c>
      <c r="C167" s="24">
        <v>0</v>
      </c>
      <c r="D167" s="25">
        <v>1</v>
      </c>
      <c r="E167" s="24">
        <v>0</v>
      </c>
      <c r="F167" s="24">
        <v>0.35043594902749831</v>
      </c>
      <c r="G167" s="25">
        <v>74.661301140174388</v>
      </c>
      <c r="H167" s="25">
        <v>0</v>
      </c>
      <c r="I167" s="25">
        <v>0</v>
      </c>
      <c r="J167" s="25">
        <v>0</v>
      </c>
      <c r="K167" s="24">
        <v>0</v>
      </c>
      <c r="L167" s="24">
        <v>0</v>
      </c>
      <c r="M167" s="17" t="s">
        <v>2202</v>
      </c>
      <c r="N167" s="18" t="s">
        <v>2203</v>
      </c>
    </row>
    <row r="168" spans="1:14" ht="25" customHeight="1" x14ac:dyDescent="0.35">
      <c r="A168" s="16" t="s">
        <v>2370</v>
      </c>
      <c r="B168" s="25">
        <v>1</v>
      </c>
      <c r="C168" s="24">
        <v>0</v>
      </c>
      <c r="D168" s="25">
        <v>1</v>
      </c>
      <c r="E168" s="24">
        <v>0</v>
      </c>
      <c r="F168" s="24">
        <v>0.35043594902749831</v>
      </c>
      <c r="G168" s="25">
        <v>74.661301140174388</v>
      </c>
      <c r="H168" s="25">
        <v>0</v>
      </c>
      <c r="I168" s="25">
        <v>0</v>
      </c>
      <c r="J168" s="25">
        <v>0</v>
      </c>
      <c r="K168" s="24">
        <v>0</v>
      </c>
      <c r="L168" s="24">
        <v>0</v>
      </c>
      <c r="M168" s="17" t="s">
        <v>2202</v>
      </c>
      <c r="N168" s="18" t="s">
        <v>2203</v>
      </c>
    </row>
    <row r="169" spans="1:14" ht="25" customHeight="1" x14ac:dyDescent="0.35">
      <c r="A169" s="16" t="s">
        <v>1326</v>
      </c>
      <c r="B169" s="25">
        <v>1</v>
      </c>
      <c r="C169" s="24">
        <v>0</v>
      </c>
      <c r="D169" s="25">
        <v>1</v>
      </c>
      <c r="E169" s="24">
        <v>0</v>
      </c>
      <c r="F169" s="24">
        <v>0.35043594902749831</v>
      </c>
      <c r="G169" s="25">
        <v>74.661301140174388</v>
      </c>
      <c r="H169" s="25">
        <v>0</v>
      </c>
      <c r="I169" s="25">
        <v>0</v>
      </c>
      <c r="J169" s="25">
        <v>0</v>
      </c>
      <c r="K169" s="24">
        <v>0</v>
      </c>
      <c r="L169" s="24">
        <v>0</v>
      </c>
      <c r="M169" s="17" t="s">
        <v>2202</v>
      </c>
      <c r="N169" s="18" t="s">
        <v>2203</v>
      </c>
    </row>
    <row r="170" spans="1:14" ht="25" customHeight="1" x14ac:dyDescent="0.35">
      <c r="A170" s="16" t="s">
        <v>2371</v>
      </c>
      <c r="B170" s="25">
        <v>1</v>
      </c>
      <c r="C170" s="24">
        <v>0</v>
      </c>
      <c r="D170" s="25">
        <v>1</v>
      </c>
      <c r="E170" s="24">
        <v>0</v>
      </c>
      <c r="F170" s="24">
        <v>0.35043594902749831</v>
      </c>
      <c r="G170" s="25">
        <v>74.661301140174388</v>
      </c>
      <c r="H170" s="25">
        <v>0</v>
      </c>
      <c r="I170" s="25">
        <v>0</v>
      </c>
      <c r="J170" s="25">
        <v>0</v>
      </c>
      <c r="K170" s="24">
        <v>0</v>
      </c>
      <c r="L170" s="24">
        <v>0</v>
      </c>
      <c r="M170" s="17" t="s">
        <v>2202</v>
      </c>
      <c r="N170" s="18" t="s">
        <v>2203</v>
      </c>
    </row>
    <row r="171" spans="1:14" ht="25" customHeight="1" x14ac:dyDescent="0.35">
      <c r="A171" s="16" t="s">
        <v>2372</v>
      </c>
      <c r="B171" s="25">
        <v>1</v>
      </c>
      <c r="C171" s="24">
        <v>1</v>
      </c>
      <c r="D171" s="25">
        <v>1</v>
      </c>
      <c r="E171" s="24">
        <v>1</v>
      </c>
      <c r="F171" s="24">
        <v>0.39805499664654592</v>
      </c>
      <c r="G171" s="25">
        <v>84.375586854460096</v>
      </c>
      <c r="H171" s="25">
        <v>204</v>
      </c>
      <c r="I171" s="25">
        <v>204</v>
      </c>
      <c r="J171" s="25">
        <v>204</v>
      </c>
      <c r="K171" s="24">
        <v>1</v>
      </c>
      <c r="L171" s="24">
        <v>1</v>
      </c>
      <c r="M171" s="17" t="s">
        <v>2202</v>
      </c>
      <c r="N171" s="18" t="s">
        <v>2203</v>
      </c>
    </row>
    <row r="172" spans="1:14" ht="25" customHeight="1" x14ac:dyDescent="0.35">
      <c r="A172" s="16" t="s">
        <v>581</v>
      </c>
      <c r="B172" s="25">
        <v>1</v>
      </c>
      <c r="C172" s="24">
        <v>0</v>
      </c>
      <c r="D172" s="25">
        <v>1</v>
      </c>
      <c r="E172" s="24">
        <v>0</v>
      </c>
      <c r="F172" s="24">
        <v>0.35043594902749831</v>
      </c>
      <c r="G172" s="25">
        <v>74.661301140174388</v>
      </c>
      <c r="H172" s="25">
        <v>0</v>
      </c>
      <c r="I172" s="25">
        <v>0</v>
      </c>
      <c r="J172" s="25">
        <v>0</v>
      </c>
      <c r="K172" s="24">
        <v>0</v>
      </c>
      <c r="L172" s="24">
        <v>0</v>
      </c>
      <c r="M172" s="17" t="s">
        <v>2202</v>
      </c>
      <c r="N172" s="18" t="s">
        <v>2203</v>
      </c>
    </row>
    <row r="173" spans="1:14" ht="25" customHeight="1" x14ac:dyDescent="0.35">
      <c r="A173" s="16" t="s">
        <v>2373</v>
      </c>
      <c r="B173" s="25">
        <v>2</v>
      </c>
      <c r="C173" s="24">
        <v>1</v>
      </c>
      <c r="D173" s="25">
        <v>1</v>
      </c>
      <c r="E173" s="24">
        <v>1</v>
      </c>
      <c r="F173" s="24">
        <v>0.39805499664654592</v>
      </c>
      <c r="G173" s="25">
        <v>95.708920187793439</v>
      </c>
      <c r="H173" s="25">
        <v>442</v>
      </c>
      <c r="I173" s="25">
        <v>442</v>
      </c>
      <c r="J173" s="25">
        <v>442</v>
      </c>
      <c r="K173" s="24">
        <v>1</v>
      </c>
      <c r="L173" s="24">
        <v>1</v>
      </c>
      <c r="M173" s="17" t="s">
        <v>2202</v>
      </c>
      <c r="N173" s="18" t="s">
        <v>2203</v>
      </c>
    </row>
    <row r="174" spans="1:14" ht="25" customHeight="1" x14ac:dyDescent="0.35">
      <c r="A174" s="16" t="s">
        <v>2374</v>
      </c>
      <c r="B174" s="25">
        <v>3</v>
      </c>
      <c r="C174" s="24">
        <v>0</v>
      </c>
      <c r="D174" s="25">
        <v>1</v>
      </c>
      <c r="E174" s="24">
        <v>0</v>
      </c>
      <c r="F174" s="24">
        <v>0.35043594902749831</v>
      </c>
      <c r="G174" s="25">
        <v>74.661301140174388</v>
      </c>
      <c r="H174" s="25">
        <v>0</v>
      </c>
      <c r="I174" s="25">
        <v>0</v>
      </c>
      <c r="J174" s="25">
        <v>0</v>
      </c>
      <c r="K174" s="24">
        <v>0</v>
      </c>
      <c r="L174" s="24">
        <v>0</v>
      </c>
      <c r="M174" s="17" t="s">
        <v>2202</v>
      </c>
      <c r="N174" s="18" t="s">
        <v>2203</v>
      </c>
    </row>
    <row r="175" spans="1:14" ht="25" customHeight="1" x14ac:dyDescent="0.35">
      <c r="A175" s="16" t="s">
        <v>2375</v>
      </c>
      <c r="B175" s="25">
        <v>1</v>
      </c>
      <c r="C175" s="24">
        <v>1</v>
      </c>
      <c r="D175" s="25">
        <v>1</v>
      </c>
      <c r="E175" s="24">
        <v>1</v>
      </c>
      <c r="F175" s="24">
        <v>0.39805499664654592</v>
      </c>
      <c r="G175" s="25">
        <v>75.089872568745818</v>
      </c>
      <c r="H175" s="25">
        <v>9</v>
      </c>
      <c r="I175" s="25">
        <v>9</v>
      </c>
      <c r="J175" s="25">
        <v>9</v>
      </c>
      <c r="K175" s="24">
        <v>0</v>
      </c>
      <c r="L175" s="24">
        <v>0</v>
      </c>
      <c r="M175" s="17" t="s">
        <v>2202</v>
      </c>
      <c r="N175" s="18" t="s">
        <v>2203</v>
      </c>
    </row>
    <row r="176" spans="1:14" ht="25" customHeight="1" x14ac:dyDescent="0.35">
      <c r="A176" s="16" t="s">
        <v>2376</v>
      </c>
      <c r="B176" s="25">
        <v>1</v>
      </c>
      <c r="C176" s="24">
        <v>1</v>
      </c>
      <c r="D176" s="25">
        <v>1</v>
      </c>
      <c r="E176" s="24">
        <v>1</v>
      </c>
      <c r="F176" s="24">
        <v>0.39805499664654592</v>
      </c>
      <c r="G176" s="25">
        <v>93.470824949698198</v>
      </c>
      <c r="H176" s="25">
        <v>395</v>
      </c>
      <c r="I176" s="25">
        <v>395</v>
      </c>
      <c r="J176" s="25">
        <v>395</v>
      </c>
      <c r="K176" s="24">
        <v>1</v>
      </c>
      <c r="L176" s="24">
        <v>1</v>
      </c>
      <c r="M176" s="17" t="s">
        <v>2202</v>
      </c>
      <c r="N176" s="18" t="s">
        <v>2203</v>
      </c>
    </row>
    <row r="177" spans="1:14" ht="25" customHeight="1" x14ac:dyDescent="0.35">
      <c r="A177" s="16" t="s">
        <v>2377</v>
      </c>
      <c r="B177" s="25">
        <v>2</v>
      </c>
      <c r="C177" s="24">
        <v>0</v>
      </c>
      <c r="D177" s="25">
        <v>1</v>
      </c>
      <c r="E177" s="24">
        <v>0</v>
      </c>
      <c r="F177" s="24">
        <v>0.35043594902749831</v>
      </c>
      <c r="G177" s="25">
        <v>74.661301140174388</v>
      </c>
      <c r="H177" s="25">
        <v>0</v>
      </c>
      <c r="I177" s="25">
        <v>0</v>
      </c>
      <c r="J177" s="25">
        <v>0</v>
      </c>
      <c r="K177" s="24">
        <v>0</v>
      </c>
      <c r="L177" s="24">
        <v>0</v>
      </c>
      <c r="M177" s="17" t="s">
        <v>2202</v>
      </c>
      <c r="N177" s="18" t="s">
        <v>2203</v>
      </c>
    </row>
    <row r="178" spans="1:14" ht="25" customHeight="1" x14ac:dyDescent="0.35">
      <c r="A178" s="16" t="s">
        <v>55</v>
      </c>
      <c r="B178" s="25">
        <v>2</v>
      </c>
      <c r="C178" s="24">
        <v>0</v>
      </c>
      <c r="D178" s="25">
        <v>0</v>
      </c>
      <c r="E178" s="24"/>
      <c r="F178" s="24">
        <v>0.36795774647887325</v>
      </c>
      <c r="G178" s="25">
        <v>78.394366197183103</v>
      </c>
      <c r="H178" s="25">
        <v>0</v>
      </c>
      <c r="I178" s="25">
        <v>0</v>
      </c>
      <c r="J178" s="25">
        <v>0</v>
      </c>
      <c r="K178" s="24"/>
      <c r="L178" s="24"/>
      <c r="M178" s="17" t="s">
        <v>2202</v>
      </c>
      <c r="N178" s="18" t="s">
        <v>2203</v>
      </c>
    </row>
    <row r="179" spans="1:14" ht="25" customHeight="1" x14ac:dyDescent="0.35">
      <c r="A179" s="16" t="s">
        <v>2378</v>
      </c>
      <c r="B179" s="25">
        <v>1</v>
      </c>
      <c r="C179" s="24">
        <v>0</v>
      </c>
      <c r="D179" s="25">
        <v>0</v>
      </c>
      <c r="E179" s="24"/>
      <c r="F179" s="24">
        <v>0.36795774647887325</v>
      </c>
      <c r="G179" s="25">
        <v>78.394366197183103</v>
      </c>
      <c r="H179" s="25">
        <v>0</v>
      </c>
      <c r="I179" s="25">
        <v>0</v>
      </c>
      <c r="J179" s="25">
        <v>0</v>
      </c>
      <c r="K179" s="24"/>
      <c r="L179" s="24"/>
      <c r="M179" s="17" t="s">
        <v>2202</v>
      </c>
      <c r="N179" s="18" t="s">
        <v>2203</v>
      </c>
    </row>
    <row r="180" spans="1:14" ht="25" customHeight="1" x14ac:dyDescent="0.35">
      <c r="A180" s="16" t="s">
        <v>2379</v>
      </c>
      <c r="B180" s="25">
        <v>1</v>
      </c>
      <c r="C180" s="24">
        <v>0</v>
      </c>
      <c r="D180" s="25">
        <v>0</v>
      </c>
      <c r="E180" s="24"/>
      <c r="F180" s="24">
        <v>0.36795774647887325</v>
      </c>
      <c r="G180" s="25">
        <v>78.394366197183103</v>
      </c>
      <c r="H180" s="25">
        <v>0</v>
      </c>
      <c r="I180" s="25">
        <v>0</v>
      </c>
      <c r="J180" s="25">
        <v>0</v>
      </c>
      <c r="K180" s="24"/>
      <c r="L180" s="24"/>
      <c r="M180" s="17" t="s">
        <v>2202</v>
      </c>
      <c r="N180" s="18" t="s">
        <v>2203</v>
      </c>
    </row>
    <row r="181" spans="1:14" ht="25" customHeight="1" x14ac:dyDescent="0.35">
      <c r="A181" s="16" t="s">
        <v>2380</v>
      </c>
      <c r="B181" s="25">
        <v>1</v>
      </c>
      <c r="C181" s="24">
        <v>0</v>
      </c>
      <c r="D181" s="25">
        <v>0</v>
      </c>
      <c r="E181" s="24"/>
      <c r="F181" s="24">
        <v>0.36795774647887325</v>
      </c>
      <c r="G181" s="25">
        <v>78.394366197183103</v>
      </c>
      <c r="H181" s="25">
        <v>0</v>
      </c>
      <c r="I181" s="25">
        <v>0</v>
      </c>
      <c r="J181" s="25">
        <v>0</v>
      </c>
      <c r="K181" s="24"/>
      <c r="L181" s="24"/>
      <c r="M181" s="17" t="s">
        <v>2202</v>
      </c>
      <c r="N181" s="18" t="s">
        <v>2203</v>
      </c>
    </row>
    <row r="182" spans="1:14" ht="25" customHeight="1" x14ac:dyDescent="0.35">
      <c r="A182" s="16" t="s">
        <v>16</v>
      </c>
      <c r="B182" s="25">
        <v>1</v>
      </c>
      <c r="C182" s="24">
        <v>0</v>
      </c>
      <c r="D182" s="25">
        <v>0</v>
      </c>
      <c r="E182" s="24"/>
      <c r="F182" s="24">
        <v>0.36795774647887325</v>
      </c>
      <c r="G182" s="25">
        <v>78.394366197183103</v>
      </c>
      <c r="H182" s="25">
        <v>0</v>
      </c>
      <c r="I182" s="25">
        <v>0</v>
      </c>
      <c r="J182" s="25">
        <v>0</v>
      </c>
      <c r="K182" s="24"/>
      <c r="L182" s="24"/>
      <c r="M182" s="17" t="s">
        <v>2202</v>
      </c>
      <c r="N182" s="18" t="s">
        <v>2203</v>
      </c>
    </row>
    <row r="183" spans="1:14" ht="25" customHeight="1" x14ac:dyDescent="0.35">
      <c r="A183" s="16" t="s">
        <v>2381</v>
      </c>
      <c r="B183" s="25">
        <v>1</v>
      </c>
      <c r="C183" s="24">
        <v>0</v>
      </c>
      <c r="D183" s="25">
        <v>0</v>
      </c>
      <c r="E183" s="24"/>
      <c r="F183" s="24">
        <v>0.36795774647887325</v>
      </c>
      <c r="G183" s="25">
        <v>78.394366197183103</v>
      </c>
      <c r="H183" s="25">
        <v>0</v>
      </c>
      <c r="I183" s="25">
        <v>0</v>
      </c>
      <c r="J183" s="25">
        <v>0</v>
      </c>
      <c r="K183" s="24"/>
      <c r="L183" s="24"/>
      <c r="M183" s="17" t="s">
        <v>2202</v>
      </c>
      <c r="N183" s="18" t="s">
        <v>2203</v>
      </c>
    </row>
    <row r="184" spans="1:14" ht="25" customHeight="1" x14ac:dyDescent="0.35">
      <c r="A184" s="16" t="s">
        <v>2382</v>
      </c>
      <c r="B184" s="25">
        <v>1</v>
      </c>
      <c r="C184" s="24">
        <v>0</v>
      </c>
      <c r="D184" s="25">
        <v>0</v>
      </c>
      <c r="E184" s="24"/>
      <c r="F184" s="24">
        <v>0.36795774647887325</v>
      </c>
      <c r="G184" s="25">
        <v>78.394366197183103</v>
      </c>
      <c r="H184" s="25">
        <v>0</v>
      </c>
      <c r="I184" s="25">
        <v>0</v>
      </c>
      <c r="J184" s="25">
        <v>0</v>
      </c>
      <c r="K184" s="24"/>
      <c r="L184" s="24"/>
      <c r="M184" s="17" t="s">
        <v>2202</v>
      </c>
      <c r="N184" s="18" t="s">
        <v>2203</v>
      </c>
    </row>
    <row r="185" spans="1:14" ht="25" customHeight="1" x14ac:dyDescent="0.35">
      <c r="A185" s="16" t="s">
        <v>2383</v>
      </c>
      <c r="B185" s="25">
        <v>1</v>
      </c>
      <c r="C185" s="24">
        <v>1</v>
      </c>
      <c r="D185" s="25">
        <v>0</v>
      </c>
      <c r="E185" s="24"/>
      <c r="F185" s="24">
        <v>0.36795774647887325</v>
      </c>
      <c r="G185" s="25">
        <v>78.394366197183103</v>
      </c>
      <c r="H185" s="25">
        <v>0</v>
      </c>
      <c r="I185" s="25">
        <v>0</v>
      </c>
      <c r="J185" s="25">
        <v>0</v>
      </c>
      <c r="K185" s="24"/>
      <c r="L185" s="24"/>
      <c r="M185" s="17" t="s">
        <v>2202</v>
      </c>
      <c r="N185" s="18" t="s">
        <v>2203</v>
      </c>
    </row>
    <row r="186" spans="1:14" ht="25" customHeight="1" x14ac:dyDescent="0.35">
      <c r="A186" s="16" t="s">
        <v>2384</v>
      </c>
      <c r="B186" s="25">
        <v>1</v>
      </c>
      <c r="C186" s="24">
        <v>1</v>
      </c>
      <c r="D186" s="25">
        <v>0</v>
      </c>
      <c r="E186" s="24"/>
      <c r="F186" s="24">
        <v>0.36795774647887325</v>
      </c>
      <c r="G186" s="25">
        <v>78.394366197183103</v>
      </c>
      <c r="H186" s="25">
        <v>0</v>
      </c>
      <c r="I186" s="25">
        <v>0</v>
      </c>
      <c r="J186" s="25">
        <v>0</v>
      </c>
      <c r="K186" s="24"/>
      <c r="L186" s="24"/>
      <c r="M186" s="17" t="s">
        <v>2202</v>
      </c>
      <c r="N186" s="18" t="s">
        <v>2203</v>
      </c>
    </row>
    <row r="187" spans="1:14" ht="25" customHeight="1" x14ac:dyDescent="0.35">
      <c r="A187" s="16" t="s">
        <v>2385</v>
      </c>
      <c r="B187" s="25">
        <v>1</v>
      </c>
      <c r="C187" s="24">
        <v>0</v>
      </c>
      <c r="D187" s="25">
        <v>0</v>
      </c>
      <c r="E187" s="24"/>
      <c r="F187" s="24">
        <v>0.36795774647887325</v>
      </c>
      <c r="G187" s="25">
        <v>78.394366197183103</v>
      </c>
      <c r="H187" s="25">
        <v>0</v>
      </c>
      <c r="I187" s="25">
        <v>0</v>
      </c>
      <c r="J187" s="25">
        <v>0</v>
      </c>
      <c r="K187" s="24"/>
      <c r="L187" s="24"/>
      <c r="M187" s="17" t="s">
        <v>2202</v>
      </c>
      <c r="N187" s="18" t="s">
        <v>2203</v>
      </c>
    </row>
    <row r="188" spans="1:14" ht="25" customHeight="1" x14ac:dyDescent="0.35">
      <c r="A188" s="16" t="s">
        <v>26</v>
      </c>
      <c r="B188" s="25">
        <v>1</v>
      </c>
      <c r="C188" s="24">
        <v>0</v>
      </c>
      <c r="D188" s="25">
        <v>0</v>
      </c>
      <c r="E188" s="24"/>
      <c r="F188" s="24">
        <v>0.36795774647887325</v>
      </c>
      <c r="G188" s="25">
        <v>78.394366197183103</v>
      </c>
      <c r="H188" s="25">
        <v>0</v>
      </c>
      <c r="I188" s="25">
        <v>0</v>
      </c>
      <c r="J188" s="25">
        <v>0</v>
      </c>
      <c r="K188" s="24"/>
      <c r="L188" s="24"/>
      <c r="M188" s="17" t="s">
        <v>2202</v>
      </c>
      <c r="N188" s="18" t="s">
        <v>2203</v>
      </c>
    </row>
    <row r="189" spans="1:14" ht="25" customHeight="1" x14ac:dyDescent="0.35">
      <c r="A189" s="16" t="s">
        <v>2386</v>
      </c>
      <c r="B189" s="25">
        <v>1</v>
      </c>
      <c r="C189" s="24">
        <v>0</v>
      </c>
      <c r="D189" s="25">
        <v>0</v>
      </c>
      <c r="E189" s="24"/>
      <c r="F189" s="24">
        <v>0.36795774647887325</v>
      </c>
      <c r="G189" s="25">
        <v>78.394366197183103</v>
      </c>
      <c r="H189" s="25">
        <v>0</v>
      </c>
      <c r="I189" s="25">
        <v>0</v>
      </c>
      <c r="J189" s="25">
        <v>0</v>
      </c>
      <c r="K189" s="24"/>
      <c r="L189" s="24"/>
      <c r="M189" s="17" t="s">
        <v>2202</v>
      </c>
      <c r="N189" s="18" t="s">
        <v>2203</v>
      </c>
    </row>
    <row r="190" spans="1:14" ht="25" customHeight="1" x14ac:dyDescent="0.35">
      <c r="A190" s="16" t="s">
        <v>2387</v>
      </c>
      <c r="B190" s="25">
        <v>1</v>
      </c>
      <c r="C190" s="24">
        <v>1</v>
      </c>
      <c r="D190" s="25">
        <v>0</v>
      </c>
      <c r="E190" s="24"/>
      <c r="F190" s="24">
        <v>0.36795774647887325</v>
      </c>
      <c r="G190" s="25">
        <v>78.394366197183103</v>
      </c>
      <c r="H190" s="25">
        <v>0</v>
      </c>
      <c r="I190" s="25">
        <v>0</v>
      </c>
      <c r="J190" s="25">
        <v>0</v>
      </c>
      <c r="K190" s="24"/>
      <c r="L190" s="24"/>
      <c r="M190" s="17" t="s">
        <v>2202</v>
      </c>
      <c r="N190" s="18" t="s">
        <v>2203</v>
      </c>
    </row>
    <row r="191" spans="1:14" ht="25" customHeight="1" x14ac:dyDescent="0.35">
      <c r="A191" s="16" t="s">
        <v>2388</v>
      </c>
      <c r="B191" s="25">
        <v>1</v>
      </c>
      <c r="C191" s="24">
        <v>1</v>
      </c>
      <c r="D191" s="25">
        <v>0</v>
      </c>
      <c r="E191" s="24"/>
      <c r="F191" s="24">
        <v>0.36795774647887325</v>
      </c>
      <c r="G191" s="25">
        <v>78.394366197183103</v>
      </c>
      <c r="H191" s="25">
        <v>0</v>
      </c>
      <c r="I191" s="25">
        <v>0</v>
      </c>
      <c r="J191" s="25">
        <v>0</v>
      </c>
      <c r="K191" s="24"/>
      <c r="L191" s="24"/>
      <c r="M191" s="17" t="s">
        <v>2202</v>
      </c>
      <c r="N191" s="18" t="s">
        <v>2203</v>
      </c>
    </row>
    <row r="192" spans="1:14" ht="25" customHeight="1" x14ac:dyDescent="0.35">
      <c r="A192" s="16" t="s">
        <v>2389</v>
      </c>
      <c r="B192" s="25">
        <v>1</v>
      </c>
      <c r="C192" s="24">
        <v>1</v>
      </c>
      <c r="D192" s="25">
        <v>0</v>
      </c>
      <c r="E192" s="24"/>
      <c r="F192" s="24">
        <v>0.36795774647887325</v>
      </c>
      <c r="G192" s="25">
        <v>78.394366197183103</v>
      </c>
      <c r="H192" s="25">
        <v>0</v>
      </c>
      <c r="I192" s="25">
        <v>0</v>
      </c>
      <c r="J192" s="25">
        <v>0</v>
      </c>
      <c r="K192" s="24"/>
      <c r="L192" s="24"/>
      <c r="M192" s="17" t="s">
        <v>2202</v>
      </c>
      <c r="N192" s="18" t="s">
        <v>2203</v>
      </c>
    </row>
    <row r="193" spans="1:14" ht="25" customHeight="1" x14ac:dyDescent="0.35">
      <c r="A193" s="16" t="s">
        <v>127</v>
      </c>
      <c r="B193" s="25">
        <v>1</v>
      </c>
      <c r="C193" s="24">
        <v>0</v>
      </c>
      <c r="D193" s="25">
        <v>0</v>
      </c>
      <c r="E193" s="24"/>
      <c r="F193" s="24">
        <v>0.36795774647887325</v>
      </c>
      <c r="G193" s="25">
        <v>78.394366197183103</v>
      </c>
      <c r="H193" s="25">
        <v>0</v>
      </c>
      <c r="I193" s="25">
        <v>0</v>
      </c>
      <c r="J193" s="25">
        <v>0</v>
      </c>
      <c r="K193" s="24"/>
      <c r="L193" s="24"/>
      <c r="M193" s="17" t="s">
        <v>2202</v>
      </c>
      <c r="N193" s="18" t="s">
        <v>2203</v>
      </c>
    </row>
    <row r="194" spans="1:14" ht="25" customHeight="1" x14ac:dyDescent="0.35">
      <c r="A194" s="16" t="s">
        <v>2390</v>
      </c>
      <c r="B194" s="25">
        <v>1</v>
      </c>
      <c r="C194" s="24">
        <v>1</v>
      </c>
      <c r="D194" s="25">
        <v>0</v>
      </c>
      <c r="E194" s="24"/>
      <c r="F194" s="24">
        <v>0.36795774647887325</v>
      </c>
      <c r="G194" s="25">
        <v>78.394366197183103</v>
      </c>
      <c r="H194" s="25">
        <v>0</v>
      </c>
      <c r="I194" s="25">
        <v>0</v>
      </c>
      <c r="J194" s="25">
        <v>0</v>
      </c>
      <c r="K194" s="24"/>
      <c r="L194" s="24"/>
      <c r="M194" s="17" t="s">
        <v>2202</v>
      </c>
      <c r="N194" s="18" t="s">
        <v>2203</v>
      </c>
    </row>
    <row r="195" spans="1:14" ht="25" customHeight="1" x14ac:dyDescent="0.35">
      <c r="A195" s="16" t="s">
        <v>2391</v>
      </c>
      <c r="B195" s="25">
        <v>1</v>
      </c>
      <c r="C195" s="24">
        <v>0</v>
      </c>
      <c r="D195" s="25">
        <v>0</v>
      </c>
      <c r="E195" s="24"/>
      <c r="F195" s="24">
        <v>0.36795774647887325</v>
      </c>
      <c r="G195" s="25">
        <v>78.394366197183103</v>
      </c>
      <c r="H195" s="25">
        <v>0</v>
      </c>
      <c r="I195" s="25">
        <v>0</v>
      </c>
      <c r="J195" s="25">
        <v>0</v>
      </c>
      <c r="K195" s="24"/>
      <c r="L195" s="24"/>
      <c r="M195" s="17" t="s">
        <v>2202</v>
      </c>
      <c r="N195" s="18" t="s">
        <v>2203</v>
      </c>
    </row>
    <row r="196" spans="1:14" ht="25" customHeight="1" x14ac:dyDescent="0.35">
      <c r="A196" s="16" t="s">
        <v>2392</v>
      </c>
      <c r="B196" s="25">
        <v>1</v>
      </c>
      <c r="C196" s="24">
        <v>0</v>
      </c>
      <c r="D196" s="25">
        <v>0</v>
      </c>
      <c r="E196" s="24"/>
      <c r="F196" s="24">
        <v>0.36795774647887325</v>
      </c>
      <c r="G196" s="25">
        <v>78.394366197183103</v>
      </c>
      <c r="H196" s="25">
        <v>0</v>
      </c>
      <c r="I196" s="25">
        <v>0</v>
      </c>
      <c r="J196" s="25">
        <v>0</v>
      </c>
      <c r="K196" s="24"/>
      <c r="L196" s="24"/>
      <c r="M196" s="17" t="s">
        <v>2202</v>
      </c>
      <c r="N196" s="18" t="s">
        <v>2203</v>
      </c>
    </row>
    <row r="197" spans="1:14" ht="25" customHeight="1" x14ac:dyDescent="0.35">
      <c r="A197" s="16" t="s">
        <v>2393</v>
      </c>
      <c r="B197" s="25">
        <v>1</v>
      </c>
      <c r="C197" s="24">
        <v>0</v>
      </c>
      <c r="D197" s="25">
        <v>0</v>
      </c>
      <c r="E197" s="24"/>
      <c r="F197" s="24">
        <v>0.36795774647887325</v>
      </c>
      <c r="G197" s="25">
        <v>78.394366197183103</v>
      </c>
      <c r="H197" s="25">
        <v>0</v>
      </c>
      <c r="I197" s="25">
        <v>0</v>
      </c>
      <c r="J197" s="25">
        <v>0</v>
      </c>
      <c r="K197" s="24"/>
      <c r="L197" s="24"/>
      <c r="M197" s="17" t="s">
        <v>2202</v>
      </c>
      <c r="N197" s="18" t="s">
        <v>2203</v>
      </c>
    </row>
    <row r="198" spans="1:14" ht="25" customHeight="1" x14ac:dyDescent="0.35">
      <c r="A198" s="19" t="s">
        <v>42</v>
      </c>
      <c r="B198" s="32">
        <v>1</v>
      </c>
      <c r="C198" s="30">
        <v>0</v>
      </c>
      <c r="D198" s="32">
        <v>0</v>
      </c>
      <c r="E198" s="30"/>
      <c r="F198" s="30">
        <v>0.36795774647887325</v>
      </c>
      <c r="G198" s="32">
        <v>78.394366197183103</v>
      </c>
      <c r="H198" s="32">
        <v>0</v>
      </c>
      <c r="I198" s="32">
        <v>0</v>
      </c>
      <c r="J198" s="32">
        <v>0</v>
      </c>
      <c r="K198" s="30"/>
      <c r="L198" s="30"/>
      <c r="M198" s="20" t="s">
        <v>2202</v>
      </c>
      <c r="N198" s="21" t="s">
        <v>2203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5"/>
  <sheetViews>
    <sheetView workbookViewId="0">
      <selection activeCell="C24" sqref="C24"/>
    </sheetView>
  </sheetViews>
  <sheetFormatPr defaultRowHeight="14.5" x14ac:dyDescent="0.35"/>
  <cols>
    <col min="1" max="1" width="24.08984375" bestFit="1" customWidth="1"/>
    <col min="2" max="2" width="12.6328125" bestFit="1" customWidth="1"/>
    <col min="3" max="3" width="32" bestFit="1" customWidth="1"/>
    <col min="4" max="6" width="26" customWidth="1"/>
    <col min="7" max="11" width="14" customWidth="1"/>
    <col min="12" max="13" width="16" customWidth="1"/>
    <col min="14" max="14" width="60" customWidth="1"/>
  </cols>
  <sheetData>
    <row r="1" spans="1:14" ht="67" customHeight="1" x14ac:dyDescent="0.5">
      <c r="A1" s="8" t="s">
        <v>2394</v>
      </c>
      <c r="B1" s="8"/>
      <c r="C1" s="8"/>
      <c r="D1" s="8"/>
      <c r="E1" s="8"/>
      <c r="F1" s="8"/>
      <c r="G1" s="8"/>
      <c r="H1" s="8"/>
      <c r="I1" s="8"/>
      <c r="J1" s="8"/>
      <c r="K1" s="8"/>
      <c r="L1" s="8"/>
      <c r="M1" s="8"/>
      <c r="N1" s="8"/>
    </row>
    <row r="2" spans="1:14" ht="101.5" x14ac:dyDescent="0.35">
      <c r="A2" s="9" t="s">
        <v>2395</v>
      </c>
      <c r="B2" s="9"/>
      <c r="C2" s="9"/>
      <c r="D2" s="9"/>
      <c r="E2" s="9"/>
      <c r="F2" s="9"/>
      <c r="G2" s="9"/>
      <c r="H2" s="9"/>
      <c r="I2" s="9"/>
      <c r="J2" s="9"/>
      <c r="K2" s="9"/>
      <c r="L2" s="9"/>
      <c r="M2" s="9"/>
      <c r="N2" s="9"/>
    </row>
    <row r="3" spans="1:14" x14ac:dyDescent="0.35">
      <c r="A3" t="s">
        <v>2396</v>
      </c>
      <c r="B3" s="36">
        <v>0.36795774647887325</v>
      </c>
      <c r="C3" t="s">
        <v>2397</v>
      </c>
      <c r="D3" s="37">
        <v>78.394366197183103</v>
      </c>
    </row>
    <row r="5" spans="1:14" ht="29" x14ac:dyDescent="0.35">
      <c r="A5" s="33" t="s">
        <v>2398</v>
      </c>
      <c r="B5" s="34" t="s">
        <v>1</v>
      </c>
      <c r="C5" s="34" t="s">
        <v>2399</v>
      </c>
      <c r="D5" s="34" t="s">
        <v>3</v>
      </c>
      <c r="E5" s="34" t="s">
        <v>2400</v>
      </c>
      <c r="F5" s="34" t="s">
        <v>2401</v>
      </c>
      <c r="G5" s="34" t="s">
        <v>2402</v>
      </c>
      <c r="H5" s="34" t="s">
        <v>2403</v>
      </c>
      <c r="I5" s="34" t="s">
        <v>2404</v>
      </c>
      <c r="J5" s="34" t="s">
        <v>2405</v>
      </c>
      <c r="K5" s="34" t="s">
        <v>2406</v>
      </c>
      <c r="L5" s="34" t="s">
        <v>2170</v>
      </c>
      <c r="M5" s="34" t="s">
        <v>2407</v>
      </c>
      <c r="N5" s="35" t="s">
        <v>2408</v>
      </c>
    </row>
    <row r="6" spans="1:14" ht="10" customHeight="1" x14ac:dyDescent="0.35">
      <c r="A6" s="13"/>
      <c r="B6" s="14"/>
      <c r="C6" s="14"/>
      <c r="D6" s="14"/>
      <c r="E6" s="14"/>
      <c r="F6" s="14"/>
      <c r="G6" s="29" t="str">
        <f>IF($C6="","",IFERROR(_xludf.XLOOKUP($C6,Category_Summary!$A$5:$A$18,Category_Summary!$F$5:$F$18,$B$3),$B$3))</f>
        <v/>
      </c>
      <c r="H6" s="29" t="str">
        <f>IF($D6="","",IFERROR(_xludf.XLOOKUP($D6,Type_Summary!$A$5:$A$6,Type_Summary!$F$5:$F$6,$B$3),$B$3))</f>
        <v/>
      </c>
      <c r="I6" s="29" t="str">
        <f>IF($E6="","",IFERROR(_xludf.XLOOKUP($E6,Product_Summary!$A$5:$A$32,Product_Summary!$F$5:$F$32,$B$3),$B$3))</f>
        <v/>
      </c>
      <c r="J6" s="29" t="str">
        <f>IF($F6="","",IFERROR(_xludf.XLOOKUP($F6,Account_Summary!$A$5:$A$198,Account_Summary!$F$5:$F$198,$B$3),$B$3))</f>
        <v/>
      </c>
      <c r="K6" s="29" t="str">
        <f t="shared" ref="K6:K37" si="0">IF(LEN(TRIM($C6&amp;$D6&amp;$E6&amp;$F6))=0,"",SUM($G6*0.3,$H6*0.1,$I6*0.3,$J6*0.3))</f>
        <v/>
      </c>
      <c r="L6" s="31" t="str">
        <f>IF(LEN(TRIM($C6&amp;$D6&amp;$E6&amp;$F6))=0,"",SUM(IFERROR(_xludf.XLOOKUP($C6,Category_Summary!$A$5:$A$18,Category_Summary!$G$5:$G$18,$D$3),$D$3)*0.3,IFERROR(_xludf.XLOOKUP($D6,Type_Summary!$A$5:$A$6,Type_Summary!$G$5:$G$6,$D$3),$D$3)*0.1,IFERROR(_xludf.XLOOKUP($E6,Product_Summary!$A$5:$A$32,Product_Summary!$G$5:$G$32,$D$3),$D$3)*0.3,IFERROR(_xludf.XLOOKUP($F6,Account_Summary!$A$5:$A$198,Account_Summary!$G$5:$G$198,$D$3),$D$3)*0.3))</f>
        <v/>
      </c>
      <c r="M6" s="14" t="str">
        <f>IF($K6="","",_xludf.IFS($K6&gt;=0.55,"Very High",$K6&gt;=0.45,"High",$K6&gt;=0.35,"Moderate",TRUE,"Low"))</f>
        <v/>
      </c>
      <c r="N6" s="15" t="str">
        <f>IF($K6="","",_xludf.IFS($K6&gt;=0.55,"Adopt smoothing by default; phase forecast over expected days and test P75/P90 sensitivity.",$K6&gt;=0.45,"Model a smoothing scenario; use expected spread days in forecast.",$K6&gt;=0.35,"Flag for commercial review; apply light smoothing if project-specific evidence supports it.",TRUE,"No default smoothing; assume short/same-day spread unless contract/customer evidence changes."))</f>
        <v/>
      </c>
    </row>
    <row r="7" spans="1:14" ht="10" customHeight="1" x14ac:dyDescent="0.35">
      <c r="A7" s="16"/>
      <c r="B7" s="17"/>
      <c r="C7" s="17"/>
      <c r="D7" s="17"/>
      <c r="E7" s="17"/>
      <c r="F7" s="17"/>
      <c r="G7" s="24" t="str">
        <f>IF($C7="","",IFERROR(_xludf.XLOOKUP($C7,Category_Summary!$A$5:$A$18,Category_Summary!$F$5:$F$18,$B$3),$B$3))</f>
        <v/>
      </c>
      <c r="H7" s="24" t="str">
        <f>IF($D7="","",IFERROR(_xludf.XLOOKUP($D7,Type_Summary!$A$5:$A$6,Type_Summary!$F$5:$F$6,$B$3),$B$3))</f>
        <v/>
      </c>
      <c r="I7" s="24" t="str">
        <f>IF($E7="","",IFERROR(_xludf.XLOOKUP($E7,Product_Summary!$A$5:$A$32,Product_Summary!$F$5:$F$32,$B$3),$B$3))</f>
        <v/>
      </c>
      <c r="J7" s="24" t="str">
        <f>IF($F7="","",IFERROR(_xludf.XLOOKUP($F7,Account_Summary!$A$5:$A$198,Account_Summary!$F$5:$F$198,$B$3),$B$3))</f>
        <v/>
      </c>
      <c r="K7" s="24" t="str">
        <f t="shared" si="0"/>
        <v/>
      </c>
      <c r="L7" s="25" t="str">
        <f>IF(LEN(TRIM($C7&amp;$D7&amp;$E7&amp;$F7))=0,"",SUM(IFERROR(_xludf.XLOOKUP($C7,Category_Summary!$A$5:$A$18,Category_Summary!$G$5:$G$18,$D$3),$D$3)*0.3,IFERROR(_xludf.XLOOKUP($D7,Type_Summary!$A$5:$A$6,Type_Summary!$G$5:$G$6,$D$3),$D$3)*0.1,IFERROR(_xludf.XLOOKUP($E7,Product_Summary!$A$5:$A$32,Product_Summary!$G$5:$G$32,$D$3),$D$3)*0.3,IFERROR(_xludf.XLOOKUP($F7,Account_Summary!$A$5:$A$198,Account_Summary!$G$5:$G$198,$D$3),$D$3)*0.3))</f>
        <v/>
      </c>
      <c r="M7" s="17" t="str">
        <f>IF($K7="","",_xludf.IFS($K7&gt;=0.55,"Very High",$K7&gt;=0.45,"High",$K7&gt;=0.35,"Moderate",TRUE,"Low"))</f>
        <v/>
      </c>
      <c r="N7" s="18" t="str">
        <f>IF($K7="","",_xludf.IFS($K7&gt;=0.55,"Adopt smoothing by default; phase forecast over expected days and test P75/P90 sensitivity.",$K7&gt;=0.45,"Model a smoothing scenario; use expected spread days in forecast.",$K7&gt;=0.35,"Flag for commercial review; apply light smoothing if project-specific evidence supports it.",TRUE,"No default smoothing; assume short/same-day spread unless contract/customer evidence changes."))</f>
        <v/>
      </c>
    </row>
    <row r="8" spans="1:14" ht="10" customHeight="1" x14ac:dyDescent="0.35">
      <c r="A8" s="16"/>
      <c r="B8" s="17"/>
      <c r="C8" s="17"/>
      <c r="D8" s="17"/>
      <c r="E8" s="17"/>
      <c r="F8" s="17"/>
      <c r="G8" s="24" t="str">
        <f>IF($C8="","",IFERROR(_xludf.XLOOKUP($C8,Category_Summary!$A$5:$A$18,Category_Summary!$F$5:$F$18,$B$3),$B$3))</f>
        <v/>
      </c>
      <c r="H8" s="24" t="str">
        <f>IF($D8="","",IFERROR(_xludf.XLOOKUP($D8,Type_Summary!$A$5:$A$6,Type_Summary!$F$5:$F$6,$B$3),$B$3))</f>
        <v/>
      </c>
      <c r="I8" s="24" t="str">
        <f>IF($E8="","",IFERROR(_xludf.XLOOKUP($E8,Product_Summary!$A$5:$A$32,Product_Summary!$F$5:$F$32,$B$3),$B$3))</f>
        <v/>
      </c>
      <c r="J8" s="24" t="str">
        <f>IF($F8="","",IFERROR(_xludf.XLOOKUP($F8,Account_Summary!$A$5:$A$198,Account_Summary!$F$5:$F$198,$B$3),$B$3))</f>
        <v/>
      </c>
      <c r="K8" s="24" t="str">
        <f t="shared" si="0"/>
        <v/>
      </c>
      <c r="L8" s="25" t="str">
        <f>IF(LEN(TRIM($C8&amp;$D8&amp;$E8&amp;$F8))=0,"",SUM(IFERROR(_xludf.XLOOKUP($C8,Category_Summary!$A$5:$A$18,Category_Summary!$G$5:$G$18,$D$3),$D$3)*0.3,IFERROR(_xludf.XLOOKUP($D8,Type_Summary!$A$5:$A$6,Type_Summary!$G$5:$G$6,$D$3),$D$3)*0.1,IFERROR(_xludf.XLOOKUP($E8,Product_Summary!$A$5:$A$32,Product_Summary!$G$5:$G$32,$D$3),$D$3)*0.3,IFERROR(_xludf.XLOOKUP($F8,Account_Summary!$A$5:$A$198,Account_Summary!$G$5:$G$198,$D$3),$D$3)*0.3))</f>
        <v/>
      </c>
      <c r="M8" s="17" t="str">
        <f>IF($K8="","",_xludf.IFS($K8&gt;=0.55,"Very High",$K8&gt;=0.45,"High",$K8&gt;=0.35,"Moderate",TRUE,"Low"))</f>
        <v/>
      </c>
      <c r="N8" s="18" t="str">
        <f>IF($K8="","",_xludf.IFS($K8&gt;=0.55,"Adopt smoothing by default; phase forecast over expected days and test P75/P90 sensitivity.",$K8&gt;=0.45,"Model a smoothing scenario; use expected spread days in forecast.",$K8&gt;=0.35,"Flag for commercial review; apply light smoothing if project-specific evidence supports it.",TRUE,"No default smoothing; assume short/same-day spread unless contract/customer evidence changes."))</f>
        <v/>
      </c>
    </row>
    <row r="9" spans="1:14" ht="10" customHeight="1" x14ac:dyDescent="0.35">
      <c r="A9" s="16"/>
      <c r="B9" s="17"/>
      <c r="C9" s="17"/>
      <c r="D9" s="17"/>
      <c r="E9" s="17"/>
      <c r="F9" s="17"/>
      <c r="G9" s="24" t="str">
        <f>IF($C9="","",IFERROR(_xludf.XLOOKUP($C9,Category_Summary!$A$5:$A$18,Category_Summary!$F$5:$F$18,$B$3),$B$3))</f>
        <v/>
      </c>
      <c r="H9" s="24" t="str">
        <f>IF($D9="","",IFERROR(_xludf.XLOOKUP($D9,Type_Summary!$A$5:$A$6,Type_Summary!$F$5:$F$6,$B$3),$B$3))</f>
        <v/>
      </c>
      <c r="I9" s="24" t="str">
        <f>IF($E9="","",IFERROR(_xludf.XLOOKUP($E9,Product_Summary!$A$5:$A$32,Product_Summary!$F$5:$F$32,$B$3),$B$3))</f>
        <v/>
      </c>
      <c r="J9" s="24" t="str">
        <f>IF($F9="","",IFERROR(_xludf.XLOOKUP($F9,Account_Summary!$A$5:$A$198,Account_Summary!$F$5:$F$198,$B$3),$B$3))</f>
        <v/>
      </c>
      <c r="K9" s="24" t="str">
        <f t="shared" si="0"/>
        <v/>
      </c>
      <c r="L9" s="25" t="str">
        <f>IF(LEN(TRIM($C9&amp;$D9&amp;$E9&amp;$F9))=0,"",SUM(IFERROR(_xludf.XLOOKUP($C9,Category_Summary!$A$5:$A$18,Category_Summary!$G$5:$G$18,$D$3),$D$3)*0.3,IFERROR(_xludf.XLOOKUP($D9,Type_Summary!$A$5:$A$6,Type_Summary!$G$5:$G$6,$D$3),$D$3)*0.1,IFERROR(_xludf.XLOOKUP($E9,Product_Summary!$A$5:$A$32,Product_Summary!$G$5:$G$32,$D$3),$D$3)*0.3,IFERROR(_xludf.XLOOKUP($F9,Account_Summary!$A$5:$A$198,Account_Summary!$G$5:$G$198,$D$3),$D$3)*0.3))</f>
        <v/>
      </c>
      <c r="M9" s="17" t="str">
        <f>IF($K9="","",_xludf.IFS($K9&gt;=0.55,"Very High",$K9&gt;=0.45,"High",$K9&gt;=0.35,"Moderate",TRUE,"Low"))</f>
        <v/>
      </c>
      <c r="N9" s="18" t="str">
        <f>IF($K9="","",_xludf.IFS($K9&gt;=0.55,"Adopt smoothing by default; phase forecast over expected days and test P75/P90 sensitivity.",$K9&gt;=0.45,"Model a smoothing scenario; use expected spread days in forecast.",$K9&gt;=0.35,"Flag for commercial review; apply light smoothing if project-specific evidence supports it.",TRUE,"No default smoothing; assume short/same-day spread unless contract/customer evidence changes."))</f>
        <v/>
      </c>
    </row>
    <row r="10" spans="1:14" ht="10" customHeight="1" x14ac:dyDescent="0.35">
      <c r="A10" s="16"/>
      <c r="B10" s="17"/>
      <c r="C10" s="17"/>
      <c r="D10" s="17"/>
      <c r="E10" s="17"/>
      <c r="F10" s="17"/>
      <c r="G10" s="24" t="str">
        <f>IF($C10="","",IFERROR(_xludf.XLOOKUP($C10,Category_Summary!$A$5:$A$18,Category_Summary!$F$5:$F$18,$B$3),$B$3))</f>
        <v/>
      </c>
      <c r="H10" s="24" t="str">
        <f>IF($D10="","",IFERROR(_xludf.XLOOKUP($D10,Type_Summary!$A$5:$A$6,Type_Summary!$F$5:$F$6,$B$3),$B$3))</f>
        <v/>
      </c>
      <c r="I10" s="24" t="str">
        <f>IF($E10="","",IFERROR(_xludf.XLOOKUP($E10,Product_Summary!$A$5:$A$32,Product_Summary!$F$5:$F$32,$B$3),$B$3))</f>
        <v/>
      </c>
      <c r="J10" s="24" t="str">
        <f>IF($F10="","",IFERROR(_xludf.XLOOKUP($F10,Account_Summary!$A$5:$A$198,Account_Summary!$F$5:$F$198,$B$3),$B$3))</f>
        <v/>
      </c>
      <c r="K10" s="24" t="str">
        <f t="shared" si="0"/>
        <v/>
      </c>
      <c r="L10" s="25" t="str">
        <f>IF(LEN(TRIM($C10&amp;$D10&amp;$E10&amp;$F10))=0,"",SUM(IFERROR(_xludf.XLOOKUP($C10,Category_Summary!$A$5:$A$18,Category_Summary!$G$5:$G$18,$D$3),$D$3)*0.3,IFERROR(_xludf.XLOOKUP($D10,Type_Summary!$A$5:$A$6,Type_Summary!$G$5:$G$6,$D$3),$D$3)*0.1,IFERROR(_xludf.XLOOKUP($E10,Product_Summary!$A$5:$A$32,Product_Summary!$G$5:$G$32,$D$3),$D$3)*0.3,IFERROR(_xludf.XLOOKUP($F10,Account_Summary!$A$5:$A$198,Account_Summary!$G$5:$G$198,$D$3),$D$3)*0.3))</f>
        <v/>
      </c>
      <c r="M10" s="17" t="str">
        <f>IF($K10="","",_xludf.IFS($K10&gt;=0.55,"Very High",$K10&gt;=0.45,"High",$K10&gt;=0.35,"Moderate",TRUE,"Low"))</f>
        <v/>
      </c>
      <c r="N10" s="18" t="str">
        <f>IF($K10="","",_xludf.IFS($K10&gt;=0.55,"Adopt smoothing by default; phase forecast over expected days and test P75/P90 sensitivity.",$K10&gt;=0.45,"Model a smoothing scenario; use expected spread days in forecast.",$K10&gt;=0.35,"Flag for commercial review; apply light smoothing if project-specific evidence supports it.",TRUE,"No default smoothing; assume short/same-day spread unless contract/customer evidence changes."))</f>
        <v/>
      </c>
    </row>
    <row r="11" spans="1:14" ht="10" customHeight="1" x14ac:dyDescent="0.35">
      <c r="A11" s="16"/>
      <c r="B11" s="17"/>
      <c r="C11" s="17"/>
      <c r="D11" s="17"/>
      <c r="E11" s="17"/>
      <c r="F11" s="17"/>
      <c r="G11" s="24" t="str">
        <f>IF($C11="","",IFERROR(_xludf.XLOOKUP($C11,Category_Summary!$A$5:$A$18,Category_Summary!$F$5:$F$18,$B$3),$B$3))</f>
        <v/>
      </c>
      <c r="H11" s="24" t="str">
        <f>IF($D11="","",IFERROR(_xludf.XLOOKUP($D11,Type_Summary!$A$5:$A$6,Type_Summary!$F$5:$F$6,$B$3),$B$3))</f>
        <v/>
      </c>
      <c r="I11" s="24" t="str">
        <f>IF($E11="","",IFERROR(_xludf.XLOOKUP($E11,Product_Summary!$A$5:$A$32,Product_Summary!$F$5:$F$32,$B$3),$B$3))</f>
        <v/>
      </c>
      <c r="J11" s="24" t="str">
        <f>IF($F11="","",IFERROR(_xludf.XLOOKUP($F11,Account_Summary!$A$5:$A$198,Account_Summary!$F$5:$F$198,$B$3),$B$3))</f>
        <v/>
      </c>
      <c r="K11" s="24" t="str">
        <f t="shared" si="0"/>
        <v/>
      </c>
      <c r="L11" s="25" t="str">
        <f>IF(LEN(TRIM($C11&amp;$D11&amp;$E11&amp;$F11))=0,"",SUM(IFERROR(_xludf.XLOOKUP($C11,Category_Summary!$A$5:$A$18,Category_Summary!$G$5:$G$18,$D$3),$D$3)*0.3,IFERROR(_xludf.XLOOKUP($D11,Type_Summary!$A$5:$A$6,Type_Summary!$G$5:$G$6,$D$3),$D$3)*0.1,IFERROR(_xludf.XLOOKUP($E11,Product_Summary!$A$5:$A$32,Product_Summary!$G$5:$G$32,$D$3),$D$3)*0.3,IFERROR(_xludf.XLOOKUP($F11,Account_Summary!$A$5:$A$198,Account_Summary!$G$5:$G$198,$D$3),$D$3)*0.3))</f>
        <v/>
      </c>
      <c r="M11" s="17" t="str">
        <f>IF($K11="","",_xludf.IFS($K11&gt;=0.55,"Very High",$K11&gt;=0.45,"High",$K11&gt;=0.35,"Moderate",TRUE,"Low"))</f>
        <v/>
      </c>
      <c r="N11" s="18" t="str">
        <f>IF($K11="","",_xludf.IFS($K11&gt;=0.55,"Adopt smoothing by default; phase forecast over expected days and test P75/P90 sensitivity.",$K11&gt;=0.45,"Model a smoothing scenario; use expected spread days in forecast.",$K11&gt;=0.35,"Flag for commercial review; apply light smoothing if project-specific evidence supports it.",TRUE,"No default smoothing; assume short/same-day spread unless contract/customer evidence changes."))</f>
        <v/>
      </c>
    </row>
    <row r="12" spans="1:14" ht="10" customHeight="1" x14ac:dyDescent="0.35">
      <c r="A12" s="16"/>
      <c r="B12" s="17"/>
      <c r="C12" s="17"/>
      <c r="D12" s="17"/>
      <c r="E12" s="17"/>
      <c r="F12" s="17"/>
      <c r="G12" s="24" t="str">
        <f>IF($C12="","",IFERROR(_xludf.XLOOKUP($C12,Category_Summary!$A$5:$A$18,Category_Summary!$F$5:$F$18,$B$3),$B$3))</f>
        <v/>
      </c>
      <c r="H12" s="24" t="str">
        <f>IF($D12="","",IFERROR(_xludf.XLOOKUP($D12,Type_Summary!$A$5:$A$6,Type_Summary!$F$5:$F$6,$B$3),$B$3))</f>
        <v/>
      </c>
      <c r="I12" s="24" t="str">
        <f>IF($E12="","",IFERROR(_xludf.XLOOKUP($E12,Product_Summary!$A$5:$A$32,Product_Summary!$F$5:$F$32,$B$3),$B$3))</f>
        <v/>
      </c>
      <c r="J12" s="24" t="str">
        <f>IF($F12="","",IFERROR(_xludf.XLOOKUP($F12,Account_Summary!$A$5:$A$198,Account_Summary!$F$5:$F$198,$B$3),$B$3))</f>
        <v/>
      </c>
      <c r="K12" s="24" t="str">
        <f t="shared" si="0"/>
        <v/>
      </c>
      <c r="L12" s="25" t="str">
        <f>IF(LEN(TRIM($C12&amp;$D12&amp;$E12&amp;$F12))=0,"",SUM(IFERROR(_xludf.XLOOKUP($C12,Category_Summary!$A$5:$A$18,Category_Summary!$G$5:$G$18,$D$3),$D$3)*0.3,IFERROR(_xludf.XLOOKUP($D12,Type_Summary!$A$5:$A$6,Type_Summary!$G$5:$G$6,$D$3),$D$3)*0.1,IFERROR(_xludf.XLOOKUP($E12,Product_Summary!$A$5:$A$32,Product_Summary!$G$5:$G$32,$D$3),$D$3)*0.3,IFERROR(_xludf.XLOOKUP($F12,Account_Summary!$A$5:$A$198,Account_Summary!$G$5:$G$198,$D$3),$D$3)*0.3))</f>
        <v/>
      </c>
      <c r="M12" s="17" t="str">
        <f>IF($K12="","",_xludf.IFS($K12&gt;=0.55,"Very High",$K12&gt;=0.45,"High",$K12&gt;=0.35,"Moderate",TRUE,"Low"))</f>
        <v/>
      </c>
      <c r="N12" s="18" t="str">
        <f>IF($K12="","",_xludf.IFS($K12&gt;=0.55,"Adopt smoothing by default; phase forecast over expected days and test P75/P90 sensitivity.",$K12&gt;=0.45,"Model a smoothing scenario; use expected spread days in forecast.",$K12&gt;=0.35,"Flag for commercial review; apply light smoothing if project-specific evidence supports it.",TRUE,"No default smoothing; assume short/same-day spread unless contract/customer evidence changes."))</f>
        <v/>
      </c>
    </row>
    <row r="13" spans="1:14" ht="10" customHeight="1" x14ac:dyDescent="0.35">
      <c r="A13" s="16"/>
      <c r="B13" s="17"/>
      <c r="C13" s="17"/>
      <c r="D13" s="17"/>
      <c r="E13" s="17"/>
      <c r="F13" s="17"/>
      <c r="G13" s="24" t="str">
        <f>IF($C13="","",IFERROR(_xludf.XLOOKUP($C13,Category_Summary!$A$5:$A$18,Category_Summary!$F$5:$F$18,$B$3),$B$3))</f>
        <v/>
      </c>
      <c r="H13" s="24" t="str">
        <f>IF($D13="","",IFERROR(_xludf.XLOOKUP($D13,Type_Summary!$A$5:$A$6,Type_Summary!$F$5:$F$6,$B$3),$B$3))</f>
        <v/>
      </c>
      <c r="I13" s="24" t="str">
        <f>IF($E13="","",IFERROR(_xludf.XLOOKUP($E13,Product_Summary!$A$5:$A$32,Product_Summary!$F$5:$F$32,$B$3),$B$3))</f>
        <v/>
      </c>
      <c r="J13" s="24" t="str">
        <f>IF($F13="","",IFERROR(_xludf.XLOOKUP($F13,Account_Summary!$A$5:$A$198,Account_Summary!$F$5:$F$198,$B$3),$B$3))</f>
        <v/>
      </c>
      <c r="K13" s="24" t="str">
        <f t="shared" si="0"/>
        <v/>
      </c>
      <c r="L13" s="25" t="str">
        <f>IF(LEN(TRIM($C13&amp;$D13&amp;$E13&amp;$F13))=0,"",SUM(IFERROR(_xludf.XLOOKUP($C13,Category_Summary!$A$5:$A$18,Category_Summary!$G$5:$G$18,$D$3),$D$3)*0.3,IFERROR(_xludf.XLOOKUP($D13,Type_Summary!$A$5:$A$6,Type_Summary!$G$5:$G$6,$D$3),$D$3)*0.1,IFERROR(_xludf.XLOOKUP($E13,Product_Summary!$A$5:$A$32,Product_Summary!$G$5:$G$32,$D$3),$D$3)*0.3,IFERROR(_xludf.XLOOKUP($F13,Account_Summary!$A$5:$A$198,Account_Summary!$G$5:$G$198,$D$3),$D$3)*0.3))</f>
        <v/>
      </c>
      <c r="M13" s="17" t="str">
        <f>IF($K13="","",_xludf.IFS($K13&gt;=0.55,"Very High",$K13&gt;=0.45,"High",$K13&gt;=0.35,"Moderate",TRUE,"Low"))</f>
        <v/>
      </c>
      <c r="N13" s="18" t="str">
        <f>IF($K13="","",_xludf.IFS($K13&gt;=0.55,"Adopt smoothing by default; phase forecast over expected days and test P75/P90 sensitivity.",$K13&gt;=0.45,"Model a smoothing scenario; use expected spread days in forecast.",$K13&gt;=0.35,"Flag for commercial review; apply light smoothing if project-specific evidence supports it.",TRUE,"No default smoothing; assume short/same-day spread unless contract/customer evidence changes."))</f>
        <v/>
      </c>
    </row>
    <row r="14" spans="1:14" ht="10" customHeight="1" x14ac:dyDescent="0.35">
      <c r="A14" s="16"/>
      <c r="B14" s="17"/>
      <c r="C14" s="17"/>
      <c r="D14" s="17"/>
      <c r="E14" s="17"/>
      <c r="F14" s="17"/>
      <c r="G14" s="24" t="str">
        <f>IF($C14="","",IFERROR(_xludf.XLOOKUP($C14,Category_Summary!$A$5:$A$18,Category_Summary!$F$5:$F$18,$B$3),$B$3))</f>
        <v/>
      </c>
      <c r="H14" s="24" t="str">
        <f>IF($D14="","",IFERROR(_xludf.XLOOKUP($D14,Type_Summary!$A$5:$A$6,Type_Summary!$F$5:$F$6,$B$3),$B$3))</f>
        <v/>
      </c>
      <c r="I14" s="24" t="str">
        <f>IF($E14="","",IFERROR(_xludf.XLOOKUP($E14,Product_Summary!$A$5:$A$32,Product_Summary!$F$5:$F$32,$B$3),$B$3))</f>
        <v/>
      </c>
      <c r="J14" s="24" t="str">
        <f>IF($F14="","",IFERROR(_xludf.XLOOKUP($F14,Account_Summary!$A$5:$A$198,Account_Summary!$F$5:$F$198,$B$3),$B$3))</f>
        <v/>
      </c>
      <c r="K14" s="24" t="str">
        <f t="shared" si="0"/>
        <v/>
      </c>
      <c r="L14" s="25" t="str">
        <f>IF(LEN(TRIM($C14&amp;$D14&amp;$E14&amp;$F14))=0,"",SUM(IFERROR(_xludf.XLOOKUP($C14,Category_Summary!$A$5:$A$18,Category_Summary!$G$5:$G$18,$D$3),$D$3)*0.3,IFERROR(_xludf.XLOOKUP($D14,Type_Summary!$A$5:$A$6,Type_Summary!$G$5:$G$6,$D$3),$D$3)*0.1,IFERROR(_xludf.XLOOKUP($E14,Product_Summary!$A$5:$A$32,Product_Summary!$G$5:$G$32,$D$3),$D$3)*0.3,IFERROR(_xludf.XLOOKUP($F14,Account_Summary!$A$5:$A$198,Account_Summary!$G$5:$G$198,$D$3),$D$3)*0.3))</f>
        <v/>
      </c>
      <c r="M14" s="17" t="str">
        <f>IF($K14="","",_xludf.IFS($K14&gt;=0.55,"Very High",$K14&gt;=0.45,"High",$K14&gt;=0.35,"Moderate",TRUE,"Low"))</f>
        <v/>
      </c>
      <c r="N14" s="18" t="str">
        <f>IF($K14="","",_xludf.IFS($K14&gt;=0.55,"Adopt smoothing by default; phase forecast over expected days and test P75/P90 sensitivity.",$K14&gt;=0.45,"Model a smoothing scenario; use expected spread days in forecast.",$K14&gt;=0.35,"Flag for commercial review; apply light smoothing if project-specific evidence supports it.",TRUE,"No default smoothing; assume short/same-day spread unless contract/customer evidence changes."))</f>
        <v/>
      </c>
    </row>
    <row r="15" spans="1:14" ht="10" customHeight="1" x14ac:dyDescent="0.35">
      <c r="A15" s="16"/>
      <c r="B15" s="17"/>
      <c r="C15" s="17"/>
      <c r="D15" s="17"/>
      <c r="E15" s="17"/>
      <c r="F15" s="17"/>
      <c r="G15" s="24" t="str">
        <f>IF($C15="","",IFERROR(_xludf.XLOOKUP($C15,Category_Summary!$A$5:$A$18,Category_Summary!$F$5:$F$18,$B$3),$B$3))</f>
        <v/>
      </c>
      <c r="H15" s="24" t="str">
        <f>IF($D15="","",IFERROR(_xludf.XLOOKUP($D15,Type_Summary!$A$5:$A$6,Type_Summary!$F$5:$F$6,$B$3),$B$3))</f>
        <v/>
      </c>
      <c r="I15" s="24" t="str">
        <f>IF($E15="","",IFERROR(_xludf.XLOOKUP($E15,Product_Summary!$A$5:$A$32,Product_Summary!$F$5:$F$32,$B$3),$B$3))</f>
        <v/>
      </c>
      <c r="J15" s="24" t="str">
        <f>IF($F15="","",IFERROR(_xludf.XLOOKUP($F15,Account_Summary!$A$5:$A$198,Account_Summary!$F$5:$F$198,$B$3),$B$3))</f>
        <v/>
      </c>
      <c r="K15" s="24" t="str">
        <f t="shared" si="0"/>
        <v/>
      </c>
      <c r="L15" s="25" t="str">
        <f>IF(LEN(TRIM($C15&amp;$D15&amp;$E15&amp;$F15))=0,"",SUM(IFERROR(_xludf.XLOOKUP($C15,Category_Summary!$A$5:$A$18,Category_Summary!$G$5:$G$18,$D$3),$D$3)*0.3,IFERROR(_xludf.XLOOKUP($D15,Type_Summary!$A$5:$A$6,Type_Summary!$G$5:$G$6,$D$3),$D$3)*0.1,IFERROR(_xludf.XLOOKUP($E15,Product_Summary!$A$5:$A$32,Product_Summary!$G$5:$G$32,$D$3),$D$3)*0.3,IFERROR(_xludf.XLOOKUP($F15,Account_Summary!$A$5:$A$198,Account_Summary!$G$5:$G$198,$D$3),$D$3)*0.3))</f>
        <v/>
      </c>
      <c r="M15" s="17" t="str">
        <f>IF($K15="","",_xludf.IFS($K15&gt;=0.55,"Very High",$K15&gt;=0.45,"High",$K15&gt;=0.35,"Moderate",TRUE,"Low"))</f>
        <v/>
      </c>
      <c r="N15" s="18" t="str">
        <f>IF($K15="","",_xludf.IFS($K15&gt;=0.55,"Adopt smoothing by default; phase forecast over expected days and test P75/P90 sensitivity.",$K15&gt;=0.45,"Model a smoothing scenario; use expected spread days in forecast.",$K15&gt;=0.35,"Flag for commercial review; apply light smoothing if project-specific evidence supports it.",TRUE,"No default smoothing; assume short/same-day spread unless contract/customer evidence changes."))</f>
        <v/>
      </c>
    </row>
    <row r="16" spans="1:14" ht="10" customHeight="1" x14ac:dyDescent="0.35">
      <c r="A16" s="16"/>
      <c r="B16" s="17"/>
      <c r="C16" s="17"/>
      <c r="D16" s="17"/>
      <c r="E16" s="17"/>
      <c r="F16" s="17"/>
      <c r="G16" s="24" t="str">
        <f>IF($C16="","",IFERROR(_xludf.XLOOKUP($C16,Category_Summary!$A$5:$A$18,Category_Summary!$F$5:$F$18,$B$3),$B$3))</f>
        <v/>
      </c>
      <c r="H16" s="24" t="str">
        <f>IF($D16="","",IFERROR(_xludf.XLOOKUP($D16,Type_Summary!$A$5:$A$6,Type_Summary!$F$5:$F$6,$B$3),$B$3))</f>
        <v/>
      </c>
      <c r="I16" s="24" t="str">
        <f>IF($E16="","",IFERROR(_xludf.XLOOKUP($E16,Product_Summary!$A$5:$A$32,Product_Summary!$F$5:$F$32,$B$3),$B$3))</f>
        <v/>
      </c>
      <c r="J16" s="24" t="str">
        <f>IF($F16="","",IFERROR(_xludf.XLOOKUP($F16,Account_Summary!$A$5:$A$198,Account_Summary!$F$5:$F$198,$B$3),$B$3))</f>
        <v/>
      </c>
      <c r="K16" s="24" t="str">
        <f t="shared" si="0"/>
        <v/>
      </c>
      <c r="L16" s="25" t="str">
        <f>IF(LEN(TRIM($C16&amp;$D16&amp;$E16&amp;$F16))=0,"",SUM(IFERROR(_xludf.XLOOKUP($C16,Category_Summary!$A$5:$A$18,Category_Summary!$G$5:$G$18,$D$3),$D$3)*0.3,IFERROR(_xludf.XLOOKUP($D16,Type_Summary!$A$5:$A$6,Type_Summary!$G$5:$G$6,$D$3),$D$3)*0.1,IFERROR(_xludf.XLOOKUP($E16,Product_Summary!$A$5:$A$32,Product_Summary!$G$5:$G$32,$D$3),$D$3)*0.3,IFERROR(_xludf.XLOOKUP($F16,Account_Summary!$A$5:$A$198,Account_Summary!$G$5:$G$198,$D$3),$D$3)*0.3))</f>
        <v/>
      </c>
      <c r="M16" s="17" t="str">
        <f>IF($K16="","",_xludf.IFS($K16&gt;=0.55,"Very High",$K16&gt;=0.45,"High",$K16&gt;=0.35,"Moderate",TRUE,"Low"))</f>
        <v/>
      </c>
      <c r="N16" s="18" t="str">
        <f>IF($K16="","",_xludf.IFS($K16&gt;=0.55,"Adopt smoothing by default; phase forecast over expected days and test P75/P90 sensitivity.",$K16&gt;=0.45,"Model a smoothing scenario; use expected spread days in forecast.",$K16&gt;=0.35,"Flag for commercial review; apply light smoothing if project-specific evidence supports it.",TRUE,"No default smoothing; assume short/same-day spread unless contract/customer evidence changes."))</f>
        <v/>
      </c>
    </row>
    <row r="17" spans="1:14" ht="10" customHeight="1" x14ac:dyDescent="0.35">
      <c r="A17" s="16"/>
      <c r="B17" s="17"/>
      <c r="C17" s="17"/>
      <c r="D17" s="17"/>
      <c r="E17" s="17"/>
      <c r="F17" s="17"/>
      <c r="G17" s="24" t="str">
        <f>IF($C17="","",IFERROR(_xludf.XLOOKUP($C17,Category_Summary!$A$5:$A$18,Category_Summary!$F$5:$F$18,$B$3),$B$3))</f>
        <v/>
      </c>
      <c r="H17" s="24" t="str">
        <f>IF($D17="","",IFERROR(_xludf.XLOOKUP($D17,Type_Summary!$A$5:$A$6,Type_Summary!$F$5:$F$6,$B$3),$B$3))</f>
        <v/>
      </c>
      <c r="I17" s="24" t="str">
        <f>IF($E17="","",IFERROR(_xludf.XLOOKUP($E17,Product_Summary!$A$5:$A$32,Product_Summary!$F$5:$F$32,$B$3),$B$3))</f>
        <v/>
      </c>
      <c r="J17" s="24" t="str">
        <f>IF($F17="","",IFERROR(_xludf.XLOOKUP($F17,Account_Summary!$A$5:$A$198,Account_Summary!$F$5:$F$198,$B$3),$B$3))</f>
        <v/>
      </c>
      <c r="K17" s="24" t="str">
        <f t="shared" si="0"/>
        <v/>
      </c>
      <c r="L17" s="25" t="str">
        <f>IF(LEN(TRIM($C17&amp;$D17&amp;$E17&amp;$F17))=0,"",SUM(IFERROR(_xludf.XLOOKUP($C17,Category_Summary!$A$5:$A$18,Category_Summary!$G$5:$G$18,$D$3),$D$3)*0.3,IFERROR(_xludf.XLOOKUP($D17,Type_Summary!$A$5:$A$6,Type_Summary!$G$5:$G$6,$D$3),$D$3)*0.1,IFERROR(_xludf.XLOOKUP($E17,Product_Summary!$A$5:$A$32,Product_Summary!$G$5:$G$32,$D$3),$D$3)*0.3,IFERROR(_xludf.XLOOKUP($F17,Account_Summary!$A$5:$A$198,Account_Summary!$G$5:$G$198,$D$3),$D$3)*0.3))</f>
        <v/>
      </c>
      <c r="M17" s="17" t="str">
        <f>IF($K17="","",_xludf.IFS($K17&gt;=0.55,"Very High",$K17&gt;=0.45,"High",$K17&gt;=0.35,"Moderate",TRUE,"Low"))</f>
        <v/>
      </c>
      <c r="N17" s="18" t="str">
        <f>IF($K17="","",_xludf.IFS($K17&gt;=0.55,"Adopt smoothing by default; phase forecast over expected days and test P75/P90 sensitivity.",$K17&gt;=0.45,"Model a smoothing scenario; use expected spread days in forecast.",$K17&gt;=0.35,"Flag for commercial review; apply light smoothing if project-specific evidence supports it.",TRUE,"No default smoothing; assume short/same-day spread unless contract/customer evidence changes."))</f>
        <v/>
      </c>
    </row>
    <row r="18" spans="1:14" ht="10" customHeight="1" x14ac:dyDescent="0.35">
      <c r="A18" s="16"/>
      <c r="B18" s="17"/>
      <c r="C18" s="17"/>
      <c r="D18" s="17"/>
      <c r="E18" s="17"/>
      <c r="F18" s="17"/>
      <c r="G18" s="24" t="str">
        <f>IF($C18="","",IFERROR(_xludf.XLOOKUP($C18,Category_Summary!$A$5:$A$18,Category_Summary!$F$5:$F$18,$B$3),$B$3))</f>
        <v/>
      </c>
      <c r="H18" s="24" t="str">
        <f>IF($D18="","",IFERROR(_xludf.XLOOKUP($D18,Type_Summary!$A$5:$A$6,Type_Summary!$F$5:$F$6,$B$3),$B$3))</f>
        <v/>
      </c>
      <c r="I18" s="24" t="str">
        <f>IF($E18="","",IFERROR(_xludf.XLOOKUP($E18,Product_Summary!$A$5:$A$32,Product_Summary!$F$5:$F$32,$B$3),$B$3))</f>
        <v/>
      </c>
      <c r="J18" s="24" t="str">
        <f>IF($F18="","",IFERROR(_xludf.XLOOKUP($F18,Account_Summary!$A$5:$A$198,Account_Summary!$F$5:$F$198,$B$3),$B$3))</f>
        <v/>
      </c>
      <c r="K18" s="24" t="str">
        <f t="shared" si="0"/>
        <v/>
      </c>
      <c r="L18" s="25" t="str">
        <f>IF(LEN(TRIM($C18&amp;$D18&amp;$E18&amp;$F18))=0,"",SUM(IFERROR(_xludf.XLOOKUP($C18,Category_Summary!$A$5:$A$18,Category_Summary!$G$5:$G$18,$D$3),$D$3)*0.3,IFERROR(_xludf.XLOOKUP($D18,Type_Summary!$A$5:$A$6,Type_Summary!$G$5:$G$6,$D$3),$D$3)*0.1,IFERROR(_xludf.XLOOKUP($E18,Product_Summary!$A$5:$A$32,Product_Summary!$G$5:$G$32,$D$3),$D$3)*0.3,IFERROR(_xludf.XLOOKUP($F18,Account_Summary!$A$5:$A$198,Account_Summary!$G$5:$G$198,$D$3),$D$3)*0.3))</f>
        <v/>
      </c>
      <c r="M18" s="17" t="str">
        <f>IF($K18="","",_xludf.IFS($K18&gt;=0.55,"Very High",$K18&gt;=0.45,"High",$K18&gt;=0.35,"Moderate",TRUE,"Low"))</f>
        <v/>
      </c>
      <c r="N18" s="18" t="str">
        <f>IF($K18="","",_xludf.IFS($K18&gt;=0.55,"Adopt smoothing by default; phase forecast over expected days and test P75/P90 sensitivity.",$K18&gt;=0.45,"Model a smoothing scenario; use expected spread days in forecast.",$K18&gt;=0.35,"Flag for commercial review; apply light smoothing if project-specific evidence supports it.",TRUE,"No default smoothing; assume short/same-day spread unless contract/customer evidence changes."))</f>
        <v/>
      </c>
    </row>
    <row r="19" spans="1:14" ht="10" customHeight="1" x14ac:dyDescent="0.35">
      <c r="A19" s="16"/>
      <c r="B19" s="17"/>
      <c r="C19" s="17"/>
      <c r="D19" s="17"/>
      <c r="E19" s="17"/>
      <c r="F19" s="17"/>
      <c r="G19" s="24" t="str">
        <f>IF($C19="","",IFERROR(_xludf.XLOOKUP($C19,Category_Summary!$A$5:$A$18,Category_Summary!$F$5:$F$18,$B$3),$B$3))</f>
        <v/>
      </c>
      <c r="H19" s="24" t="str">
        <f>IF($D19="","",IFERROR(_xludf.XLOOKUP($D19,Type_Summary!$A$5:$A$6,Type_Summary!$F$5:$F$6,$B$3),$B$3))</f>
        <v/>
      </c>
      <c r="I19" s="24" t="str">
        <f>IF($E19="","",IFERROR(_xludf.XLOOKUP($E19,Product_Summary!$A$5:$A$32,Product_Summary!$F$5:$F$32,$B$3),$B$3))</f>
        <v/>
      </c>
      <c r="J19" s="24" t="str">
        <f>IF($F19="","",IFERROR(_xludf.XLOOKUP($F19,Account_Summary!$A$5:$A$198,Account_Summary!$F$5:$F$198,$B$3),$B$3))</f>
        <v/>
      </c>
      <c r="K19" s="24" t="str">
        <f t="shared" si="0"/>
        <v/>
      </c>
      <c r="L19" s="25" t="str">
        <f>IF(LEN(TRIM($C19&amp;$D19&amp;$E19&amp;$F19))=0,"",SUM(IFERROR(_xludf.XLOOKUP($C19,Category_Summary!$A$5:$A$18,Category_Summary!$G$5:$G$18,$D$3),$D$3)*0.3,IFERROR(_xludf.XLOOKUP($D19,Type_Summary!$A$5:$A$6,Type_Summary!$G$5:$G$6,$D$3),$D$3)*0.1,IFERROR(_xludf.XLOOKUP($E19,Product_Summary!$A$5:$A$32,Product_Summary!$G$5:$G$32,$D$3),$D$3)*0.3,IFERROR(_xludf.XLOOKUP($F19,Account_Summary!$A$5:$A$198,Account_Summary!$G$5:$G$198,$D$3),$D$3)*0.3))</f>
        <v/>
      </c>
      <c r="M19" s="17" t="str">
        <f>IF($K19="","",_xludf.IFS($K19&gt;=0.55,"Very High",$K19&gt;=0.45,"High",$K19&gt;=0.35,"Moderate",TRUE,"Low"))</f>
        <v/>
      </c>
      <c r="N19" s="18" t="str">
        <f>IF($K19="","",_xludf.IFS($K19&gt;=0.55,"Adopt smoothing by default; phase forecast over expected days and test P75/P90 sensitivity.",$K19&gt;=0.45,"Model a smoothing scenario; use expected spread days in forecast.",$K19&gt;=0.35,"Flag for commercial review; apply light smoothing if project-specific evidence supports it.",TRUE,"No default smoothing; assume short/same-day spread unless contract/customer evidence changes."))</f>
        <v/>
      </c>
    </row>
    <row r="20" spans="1:14" ht="10" customHeight="1" x14ac:dyDescent="0.35">
      <c r="A20" s="16"/>
      <c r="B20" s="17"/>
      <c r="C20" s="17"/>
      <c r="D20" s="17"/>
      <c r="E20" s="17"/>
      <c r="F20" s="17"/>
      <c r="G20" s="24" t="str">
        <f>IF($C20="","",IFERROR(_xludf.XLOOKUP($C20,Category_Summary!$A$5:$A$18,Category_Summary!$F$5:$F$18,$B$3),$B$3))</f>
        <v/>
      </c>
      <c r="H20" s="24" t="str">
        <f>IF($D20="","",IFERROR(_xludf.XLOOKUP($D20,Type_Summary!$A$5:$A$6,Type_Summary!$F$5:$F$6,$B$3),$B$3))</f>
        <v/>
      </c>
      <c r="I20" s="24" t="str">
        <f>IF($E20="","",IFERROR(_xludf.XLOOKUP($E20,Product_Summary!$A$5:$A$32,Product_Summary!$F$5:$F$32,$B$3),$B$3))</f>
        <v/>
      </c>
      <c r="J20" s="24" t="str">
        <f>IF($F20="","",IFERROR(_xludf.XLOOKUP($F20,Account_Summary!$A$5:$A$198,Account_Summary!$F$5:$F$198,$B$3),$B$3))</f>
        <v/>
      </c>
      <c r="K20" s="24" t="str">
        <f t="shared" si="0"/>
        <v/>
      </c>
      <c r="L20" s="25" t="str">
        <f>IF(LEN(TRIM($C20&amp;$D20&amp;$E20&amp;$F20))=0,"",SUM(IFERROR(_xludf.XLOOKUP($C20,Category_Summary!$A$5:$A$18,Category_Summary!$G$5:$G$18,$D$3),$D$3)*0.3,IFERROR(_xludf.XLOOKUP($D20,Type_Summary!$A$5:$A$6,Type_Summary!$G$5:$G$6,$D$3),$D$3)*0.1,IFERROR(_xludf.XLOOKUP($E20,Product_Summary!$A$5:$A$32,Product_Summary!$G$5:$G$32,$D$3),$D$3)*0.3,IFERROR(_xludf.XLOOKUP($F20,Account_Summary!$A$5:$A$198,Account_Summary!$G$5:$G$198,$D$3),$D$3)*0.3))</f>
        <v/>
      </c>
      <c r="M20" s="17" t="str">
        <f>IF($K20="","",_xludf.IFS($K20&gt;=0.55,"Very High",$K20&gt;=0.45,"High",$K20&gt;=0.35,"Moderate",TRUE,"Low"))</f>
        <v/>
      </c>
      <c r="N20" s="18" t="str">
        <f>IF($K20="","",_xludf.IFS($K20&gt;=0.55,"Adopt smoothing by default; phase forecast over expected days and test P75/P90 sensitivity.",$K20&gt;=0.45,"Model a smoothing scenario; use expected spread days in forecast.",$K20&gt;=0.35,"Flag for commercial review; apply light smoothing if project-specific evidence supports it.",TRUE,"No default smoothing; assume short/same-day spread unless contract/customer evidence changes."))</f>
        <v/>
      </c>
    </row>
    <row r="21" spans="1:14" ht="10" customHeight="1" x14ac:dyDescent="0.35">
      <c r="A21" s="16"/>
      <c r="B21" s="17"/>
      <c r="C21" s="17"/>
      <c r="D21" s="17"/>
      <c r="E21" s="17"/>
      <c r="F21" s="17"/>
      <c r="G21" s="24" t="str">
        <f>IF($C21="","",IFERROR(_xludf.XLOOKUP($C21,Category_Summary!$A$5:$A$18,Category_Summary!$F$5:$F$18,$B$3),$B$3))</f>
        <v/>
      </c>
      <c r="H21" s="24" t="str">
        <f>IF($D21="","",IFERROR(_xludf.XLOOKUP($D21,Type_Summary!$A$5:$A$6,Type_Summary!$F$5:$F$6,$B$3),$B$3))</f>
        <v/>
      </c>
      <c r="I21" s="24" t="str">
        <f>IF($E21="","",IFERROR(_xludf.XLOOKUP($E21,Product_Summary!$A$5:$A$32,Product_Summary!$F$5:$F$32,$B$3),$B$3))</f>
        <v/>
      </c>
      <c r="J21" s="24" t="str">
        <f>IF($F21="","",IFERROR(_xludf.XLOOKUP($F21,Account_Summary!$A$5:$A$198,Account_Summary!$F$5:$F$198,$B$3),$B$3))</f>
        <v/>
      </c>
      <c r="K21" s="24" t="str">
        <f t="shared" si="0"/>
        <v/>
      </c>
      <c r="L21" s="25" t="str">
        <f>IF(LEN(TRIM($C21&amp;$D21&amp;$E21&amp;$F21))=0,"",SUM(IFERROR(_xludf.XLOOKUP($C21,Category_Summary!$A$5:$A$18,Category_Summary!$G$5:$G$18,$D$3),$D$3)*0.3,IFERROR(_xludf.XLOOKUP($D21,Type_Summary!$A$5:$A$6,Type_Summary!$G$5:$G$6,$D$3),$D$3)*0.1,IFERROR(_xludf.XLOOKUP($E21,Product_Summary!$A$5:$A$32,Product_Summary!$G$5:$G$32,$D$3),$D$3)*0.3,IFERROR(_xludf.XLOOKUP($F21,Account_Summary!$A$5:$A$198,Account_Summary!$G$5:$G$198,$D$3),$D$3)*0.3))</f>
        <v/>
      </c>
      <c r="M21" s="17" t="str">
        <f>IF($K21="","",_xludf.IFS($K21&gt;=0.55,"Very High",$K21&gt;=0.45,"High",$K21&gt;=0.35,"Moderate",TRUE,"Low"))</f>
        <v/>
      </c>
      <c r="N21" s="18" t="str">
        <f>IF($K21="","",_xludf.IFS($K21&gt;=0.55,"Adopt smoothing by default; phase forecast over expected days and test P75/P90 sensitivity.",$K21&gt;=0.45,"Model a smoothing scenario; use expected spread days in forecast.",$K21&gt;=0.35,"Flag for commercial review; apply light smoothing if project-specific evidence supports it.",TRUE,"No default smoothing; assume short/same-day spread unless contract/customer evidence changes."))</f>
        <v/>
      </c>
    </row>
    <row r="22" spans="1:14" ht="10" customHeight="1" x14ac:dyDescent="0.35">
      <c r="A22" s="16"/>
      <c r="B22" s="17"/>
      <c r="C22" s="17"/>
      <c r="D22" s="17"/>
      <c r="E22" s="17"/>
      <c r="F22" s="17"/>
      <c r="G22" s="24" t="str">
        <f>IF($C22="","",IFERROR(_xludf.XLOOKUP($C22,Category_Summary!$A$5:$A$18,Category_Summary!$F$5:$F$18,$B$3),$B$3))</f>
        <v/>
      </c>
      <c r="H22" s="24" t="str">
        <f>IF($D22="","",IFERROR(_xludf.XLOOKUP($D22,Type_Summary!$A$5:$A$6,Type_Summary!$F$5:$F$6,$B$3),$B$3))</f>
        <v/>
      </c>
      <c r="I22" s="24" t="str">
        <f>IF($E22="","",IFERROR(_xludf.XLOOKUP($E22,Product_Summary!$A$5:$A$32,Product_Summary!$F$5:$F$32,$B$3),$B$3))</f>
        <v/>
      </c>
      <c r="J22" s="24" t="str">
        <f>IF($F22="","",IFERROR(_xludf.XLOOKUP($F22,Account_Summary!$A$5:$A$198,Account_Summary!$F$5:$F$198,$B$3),$B$3))</f>
        <v/>
      </c>
      <c r="K22" s="24" t="str">
        <f t="shared" si="0"/>
        <v/>
      </c>
      <c r="L22" s="25" t="str">
        <f>IF(LEN(TRIM($C22&amp;$D22&amp;$E22&amp;$F22))=0,"",SUM(IFERROR(_xludf.XLOOKUP($C22,Category_Summary!$A$5:$A$18,Category_Summary!$G$5:$G$18,$D$3),$D$3)*0.3,IFERROR(_xludf.XLOOKUP($D22,Type_Summary!$A$5:$A$6,Type_Summary!$G$5:$G$6,$D$3),$D$3)*0.1,IFERROR(_xludf.XLOOKUP($E22,Product_Summary!$A$5:$A$32,Product_Summary!$G$5:$G$32,$D$3),$D$3)*0.3,IFERROR(_xludf.XLOOKUP($F22,Account_Summary!$A$5:$A$198,Account_Summary!$G$5:$G$198,$D$3),$D$3)*0.3))</f>
        <v/>
      </c>
      <c r="M22" s="17" t="str">
        <f>IF($K22="","",_xludf.IFS($K22&gt;=0.55,"Very High",$K22&gt;=0.45,"High",$K22&gt;=0.35,"Moderate",TRUE,"Low"))</f>
        <v/>
      </c>
      <c r="N22" s="18" t="str">
        <f>IF($K22="","",_xludf.IFS($K22&gt;=0.55,"Adopt smoothing by default; phase forecast over expected days and test P75/P90 sensitivity.",$K22&gt;=0.45,"Model a smoothing scenario; use expected spread days in forecast.",$K22&gt;=0.35,"Flag for commercial review; apply light smoothing if project-specific evidence supports it.",TRUE,"No default smoothing; assume short/same-day spread unless contract/customer evidence changes."))</f>
        <v/>
      </c>
    </row>
    <row r="23" spans="1:14" ht="10" customHeight="1" x14ac:dyDescent="0.35">
      <c r="A23" s="16"/>
      <c r="B23" s="17"/>
      <c r="C23" s="17"/>
      <c r="D23" s="17"/>
      <c r="E23" s="17"/>
      <c r="F23" s="17"/>
      <c r="G23" s="24" t="str">
        <f>IF($C23="","",IFERROR(_xludf.XLOOKUP($C23,Category_Summary!$A$5:$A$18,Category_Summary!$F$5:$F$18,$B$3),$B$3))</f>
        <v/>
      </c>
      <c r="H23" s="24" t="str">
        <f>IF($D23="","",IFERROR(_xludf.XLOOKUP($D23,Type_Summary!$A$5:$A$6,Type_Summary!$F$5:$F$6,$B$3),$B$3))</f>
        <v/>
      </c>
      <c r="I23" s="24" t="str">
        <f>IF($E23="","",IFERROR(_xludf.XLOOKUP($E23,Product_Summary!$A$5:$A$32,Product_Summary!$F$5:$F$32,$B$3),$B$3))</f>
        <v/>
      </c>
      <c r="J23" s="24" t="str">
        <f>IF($F23="","",IFERROR(_xludf.XLOOKUP($F23,Account_Summary!$A$5:$A$198,Account_Summary!$F$5:$F$198,$B$3),$B$3))</f>
        <v/>
      </c>
      <c r="K23" s="24" t="str">
        <f t="shared" si="0"/>
        <v/>
      </c>
      <c r="L23" s="25" t="str">
        <f>IF(LEN(TRIM($C23&amp;$D23&amp;$E23&amp;$F23))=0,"",SUM(IFERROR(_xludf.XLOOKUP($C23,Category_Summary!$A$5:$A$18,Category_Summary!$G$5:$G$18,$D$3),$D$3)*0.3,IFERROR(_xludf.XLOOKUP($D23,Type_Summary!$A$5:$A$6,Type_Summary!$G$5:$G$6,$D$3),$D$3)*0.1,IFERROR(_xludf.XLOOKUP($E23,Product_Summary!$A$5:$A$32,Product_Summary!$G$5:$G$32,$D$3),$D$3)*0.3,IFERROR(_xludf.XLOOKUP($F23,Account_Summary!$A$5:$A$198,Account_Summary!$G$5:$G$198,$D$3),$D$3)*0.3))</f>
        <v/>
      </c>
      <c r="M23" s="17" t="str">
        <f>IF($K23="","",_xludf.IFS($K23&gt;=0.55,"Very High",$K23&gt;=0.45,"High",$K23&gt;=0.35,"Moderate",TRUE,"Low"))</f>
        <v/>
      </c>
      <c r="N23" s="18" t="str">
        <f>IF($K23="","",_xludf.IFS($K23&gt;=0.55,"Adopt smoothing by default; phase forecast over expected days and test P75/P90 sensitivity.",$K23&gt;=0.45,"Model a smoothing scenario; use expected spread days in forecast.",$K23&gt;=0.35,"Flag for commercial review; apply light smoothing if project-specific evidence supports it.",TRUE,"No default smoothing; assume short/same-day spread unless contract/customer evidence changes."))</f>
        <v/>
      </c>
    </row>
    <row r="24" spans="1:14" ht="10" customHeight="1" x14ac:dyDescent="0.35">
      <c r="A24" s="16"/>
      <c r="B24" s="17"/>
      <c r="C24" s="17"/>
      <c r="D24" s="17"/>
      <c r="E24" s="17"/>
      <c r="F24" s="17"/>
      <c r="G24" s="24" t="str">
        <f>IF($C24="","",IFERROR(_xludf.XLOOKUP($C24,Category_Summary!$A$5:$A$18,Category_Summary!$F$5:$F$18,$B$3),$B$3))</f>
        <v/>
      </c>
      <c r="H24" s="24" t="str">
        <f>IF($D24="","",IFERROR(_xludf.XLOOKUP($D24,Type_Summary!$A$5:$A$6,Type_Summary!$F$5:$F$6,$B$3),$B$3))</f>
        <v/>
      </c>
      <c r="I24" s="24" t="str">
        <f>IF($E24="","",IFERROR(_xludf.XLOOKUP($E24,Product_Summary!$A$5:$A$32,Product_Summary!$F$5:$F$32,$B$3),$B$3))</f>
        <v/>
      </c>
      <c r="J24" s="24" t="str">
        <f>IF($F24="","",IFERROR(_xludf.XLOOKUP($F24,Account_Summary!$A$5:$A$198,Account_Summary!$F$5:$F$198,$B$3),$B$3))</f>
        <v/>
      </c>
      <c r="K24" s="24" t="str">
        <f t="shared" si="0"/>
        <v/>
      </c>
      <c r="L24" s="25" t="str">
        <f>IF(LEN(TRIM($C24&amp;$D24&amp;$E24&amp;$F24))=0,"",SUM(IFERROR(_xludf.XLOOKUP($C24,Category_Summary!$A$5:$A$18,Category_Summary!$G$5:$G$18,$D$3),$D$3)*0.3,IFERROR(_xludf.XLOOKUP($D24,Type_Summary!$A$5:$A$6,Type_Summary!$G$5:$G$6,$D$3),$D$3)*0.1,IFERROR(_xludf.XLOOKUP($E24,Product_Summary!$A$5:$A$32,Product_Summary!$G$5:$G$32,$D$3),$D$3)*0.3,IFERROR(_xludf.XLOOKUP($F24,Account_Summary!$A$5:$A$198,Account_Summary!$G$5:$G$198,$D$3),$D$3)*0.3))</f>
        <v/>
      </c>
      <c r="M24" s="17" t="str">
        <f>IF($K24="","",_xludf.IFS($K24&gt;=0.55,"Very High",$K24&gt;=0.45,"High",$K24&gt;=0.35,"Moderate",TRUE,"Low"))</f>
        <v/>
      </c>
      <c r="N24" s="18" t="str">
        <f>IF($K24="","",_xludf.IFS($K24&gt;=0.55,"Adopt smoothing by default; phase forecast over expected days and test P75/P90 sensitivity.",$K24&gt;=0.45,"Model a smoothing scenario; use expected spread days in forecast.",$K24&gt;=0.35,"Flag for commercial review; apply light smoothing if project-specific evidence supports it.",TRUE,"No default smoothing; assume short/same-day spread unless contract/customer evidence changes."))</f>
        <v/>
      </c>
    </row>
    <row r="25" spans="1:14" ht="10" customHeight="1" x14ac:dyDescent="0.35">
      <c r="A25" s="16"/>
      <c r="B25" s="17"/>
      <c r="C25" s="17"/>
      <c r="D25" s="17"/>
      <c r="E25" s="17"/>
      <c r="F25" s="17"/>
      <c r="G25" s="24" t="str">
        <f>IF($C25="","",IFERROR(_xludf.XLOOKUP($C25,Category_Summary!$A$5:$A$18,Category_Summary!$F$5:$F$18,$B$3),$B$3))</f>
        <v/>
      </c>
      <c r="H25" s="24" t="str">
        <f>IF($D25="","",IFERROR(_xludf.XLOOKUP($D25,Type_Summary!$A$5:$A$6,Type_Summary!$F$5:$F$6,$B$3),$B$3))</f>
        <v/>
      </c>
      <c r="I25" s="24" t="str">
        <f>IF($E25="","",IFERROR(_xludf.XLOOKUP($E25,Product_Summary!$A$5:$A$32,Product_Summary!$F$5:$F$32,$B$3),$B$3))</f>
        <v/>
      </c>
      <c r="J25" s="24" t="str">
        <f>IF($F25="","",IFERROR(_xludf.XLOOKUP($F25,Account_Summary!$A$5:$A$198,Account_Summary!$F$5:$F$198,$B$3),$B$3))</f>
        <v/>
      </c>
      <c r="K25" s="24" t="str">
        <f t="shared" si="0"/>
        <v/>
      </c>
      <c r="L25" s="25" t="str">
        <f>IF(LEN(TRIM($C25&amp;$D25&amp;$E25&amp;$F25))=0,"",SUM(IFERROR(_xludf.XLOOKUP($C25,Category_Summary!$A$5:$A$18,Category_Summary!$G$5:$G$18,$D$3),$D$3)*0.3,IFERROR(_xludf.XLOOKUP($D25,Type_Summary!$A$5:$A$6,Type_Summary!$G$5:$G$6,$D$3),$D$3)*0.1,IFERROR(_xludf.XLOOKUP($E25,Product_Summary!$A$5:$A$32,Product_Summary!$G$5:$G$32,$D$3),$D$3)*0.3,IFERROR(_xludf.XLOOKUP($F25,Account_Summary!$A$5:$A$198,Account_Summary!$G$5:$G$198,$D$3),$D$3)*0.3))</f>
        <v/>
      </c>
      <c r="M25" s="17" t="str">
        <f>IF($K25="","",_xludf.IFS($K25&gt;=0.55,"Very High",$K25&gt;=0.45,"High",$K25&gt;=0.35,"Moderate",TRUE,"Low"))</f>
        <v/>
      </c>
      <c r="N25" s="18" t="str">
        <f>IF($K25="","",_xludf.IFS($K25&gt;=0.55,"Adopt smoothing by default; phase forecast over expected days and test P75/P90 sensitivity.",$K25&gt;=0.45,"Model a smoothing scenario; use expected spread days in forecast.",$K25&gt;=0.35,"Flag for commercial review; apply light smoothing if project-specific evidence supports it.",TRUE,"No default smoothing; assume short/same-day spread unless contract/customer evidence changes."))</f>
        <v/>
      </c>
    </row>
    <row r="26" spans="1:14" ht="10" customHeight="1" x14ac:dyDescent="0.35">
      <c r="A26" s="16"/>
      <c r="B26" s="17"/>
      <c r="C26" s="17"/>
      <c r="D26" s="17"/>
      <c r="E26" s="17"/>
      <c r="F26" s="17"/>
      <c r="G26" s="24" t="str">
        <f>IF($C26="","",IFERROR(_xludf.XLOOKUP($C26,Category_Summary!$A$5:$A$18,Category_Summary!$F$5:$F$18,$B$3),$B$3))</f>
        <v/>
      </c>
      <c r="H26" s="24" t="str">
        <f>IF($D26="","",IFERROR(_xludf.XLOOKUP($D26,Type_Summary!$A$5:$A$6,Type_Summary!$F$5:$F$6,$B$3),$B$3))</f>
        <v/>
      </c>
      <c r="I26" s="24" t="str">
        <f>IF($E26="","",IFERROR(_xludf.XLOOKUP($E26,Product_Summary!$A$5:$A$32,Product_Summary!$F$5:$F$32,$B$3),$B$3))</f>
        <v/>
      </c>
      <c r="J26" s="24" t="str">
        <f>IF($F26="","",IFERROR(_xludf.XLOOKUP($F26,Account_Summary!$A$5:$A$198,Account_Summary!$F$5:$F$198,$B$3),$B$3))</f>
        <v/>
      </c>
      <c r="K26" s="24" t="str">
        <f t="shared" si="0"/>
        <v/>
      </c>
      <c r="L26" s="25" t="str">
        <f>IF(LEN(TRIM($C26&amp;$D26&amp;$E26&amp;$F26))=0,"",SUM(IFERROR(_xludf.XLOOKUP($C26,Category_Summary!$A$5:$A$18,Category_Summary!$G$5:$G$18,$D$3),$D$3)*0.3,IFERROR(_xludf.XLOOKUP($D26,Type_Summary!$A$5:$A$6,Type_Summary!$G$5:$G$6,$D$3),$D$3)*0.1,IFERROR(_xludf.XLOOKUP($E26,Product_Summary!$A$5:$A$32,Product_Summary!$G$5:$G$32,$D$3),$D$3)*0.3,IFERROR(_xludf.XLOOKUP($F26,Account_Summary!$A$5:$A$198,Account_Summary!$G$5:$G$198,$D$3),$D$3)*0.3))</f>
        <v/>
      </c>
      <c r="M26" s="17" t="str">
        <f>IF($K26="","",_xludf.IFS($K26&gt;=0.55,"Very High",$K26&gt;=0.45,"High",$K26&gt;=0.35,"Moderate",TRUE,"Low"))</f>
        <v/>
      </c>
      <c r="N26" s="18" t="str">
        <f>IF($K26="","",_xludf.IFS($K26&gt;=0.55,"Adopt smoothing by default; phase forecast over expected days and test P75/P90 sensitivity.",$K26&gt;=0.45,"Model a smoothing scenario; use expected spread days in forecast.",$K26&gt;=0.35,"Flag for commercial review; apply light smoothing if project-specific evidence supports it.",TRUE,"No default smoothing; assume short/same-day spread unless contract/customer evidence changes."))</f>
        <v/>
      </c>
    </row>
    <row r="27" spans="1:14" ht="10" customHeight="1" x14ac:dyDescent="0.35">
      <c r="A27" s="16"/>
      <c r="B27" s="17"/>
      <c r="C27" s="17"/>
      <c r="D27" s="17"/>
      <c r="E27" s="17"/>
      <c r="F27" s="17"/>
      <c r="G27" s="24" t="str">
        <f>IF($C27="","",IFERROR(_xludf.XLOOKUP($C27,Category_Summary!$A$5:$A$18,Category_Summary!$F$5:$F$18,$B$3),$B$3))</f>
        <v/>
      </c>
      <c r="H27" s="24" t="str">
        <f>IF($D27="","",IFERROR(_xludf.XLOOKUP($D27,Type_Summary!$A$5:$A$6,Type_Summary!$F$5:$F$6,$B$3),$B$3))</f>
        <v/>
      </c>
      <c r="I27" s="24" t="str">
        <f>IF($E27="","",IFERROR(_xludf.XLOOKUP($E27,Product_Summary!$A$5:$A$32,Product_Summary!$F$5:$F$32,$B$3),$B$3))</f>
        <v/>
      </c>
      <c r="J27" s="24" t="str">
        <f>IF($F27="","",IFERROR(_xludf.XLOOKUP($F27,Account_Summary!$A$5:$A$198,Account_Summary!$F$5:$F$198,$B$3),$B$3))</f>
        <v/>
      </c>
      <c r="K27" s="24" t="str">
        <f t="shared" si="0"/>
        <v/>
      </c>
      <c r="L27" s="25" t="str">
        <f>IF(LEN(TRIM($C27&amp;$D27&amp;$E27&amp;$F27))=0,"",SUM(IFERROR(_xludf.XLOOKUP($C27,Category_Summary!$A$5:$A$18,Category_Summary!$G$5:$G$18,$D$3),$D$3)*0.3,IFERROR(_xludf.XLOOKUP($D27,Type_Summary!$A$5:$A$6,Type_Summary!$G$5:$G$6,$D$3),$D$3)*0.1,IFERROR(_xludf.XLOOKUP($E27,Product_Summary!$A$5:$A$32,Product_Summary!$G$5:$G$32,$D$3),$D$3)*0.3,IFERROR(_xludf.XLOOKUP($F27,Account_Summary!$A$5:$A$198,Account_Summary!$G$5:$G$198,$D$3),$D$3)*0.3))</f>
        <v/>
      </c>
      <c r="M27" s="17" t="str">
        <f>IF($K27="","",_xludf.IFS($K27&gt;=0.55,"Very High",$K27&gt;=0.45,"High",$K27&gt;=0.35,"Moderate",TRUE,"Low"))</f>
        <v/>
      </c>
      <c r="N27" s="18" t="str">
        <f>IF($K27="","",_xludf.IFS($K27&gt;=0.55,"Adopt smoothing by default; phase forecast over expected days and test P75/P90 sensitivity.",$K27&gt;=0.45,"Model a smoothing scenario; use expected spread days in forecast.",$K27&gt;=0.35,"Flag for commercial review; apply light smoothing if project-specific evidence supports it.",TRUE,"No default smoothing; assume short/same-day spread unless contract/customer evidence changes."))</f>
        <v/>
      </c>
    </row>
    <row r="28" spans="1:14" ht="10" customHeight="1" x14ac:dyDescent="0.35">
      <c r="A28" s="16"/>
      <c r="B28" s="17"/>
      <c r="C28" s="17"/>
      <c r="D28" s="17"/>
      <c r="E28" s="17"/>
      <c r="F28" s="17"/>
      <c r="G28" s="24" t="str">
        <f>IF($C28="","",IFERROR(_xludf.XLOOKUP($C28,Category_Summary!$A$5:$A$18,Category_Summary!$F$5:$F$18,$B$3),$B$3))</f>
        <v/>
      </c>
      <c r="H28" s="24" t="str">
        <f>IF($D28="","",IFERROR(_xludf.XLOOKUP($D28,Type_Summary!$A$5:$A$6,Type_Summary!$F$5:$F$6,$B$3),$B$3))</f>
        <v/>
      </c>
      <c r="I28" s="24" t="str">
        <f>IF($E28="","",IFERROR(_xludf.XLOOKUP($E28,Product_Summary!$A$5:$A$32,Product_Summary!$F$5:$F$32,$B$3),$B$3))</f>
        <v/>
      </c>
      <c r="J28" s="24" t="str">
        <f>IF($F28="","",IFERROR(_xludf.XLOOKUP($F28,Account_Summary!$A$5:$A$198,Account_Summary!$F$5:$F$198,$B$3),$B$3))</f>
        <v/>
      </c>
      <c r="K28" s="24" t="str">
        <f t="shared" si="0"/>
        <v/>
      </c>
      <c r="L28" s="25" t="str">
        <f>IF(LEN(TRIM($C28&amp;$D28&amp;$E28&amp;$F28))=0,"",SUM(IFERROR(_xludf.XLOOKUP($C28,Category_Summary!$A$5:$A$18,Category_Summary!$G$5:$G$18,$D$3),$D$3)*0.3,IFERROR(_xludf.XLOOKUP($D28,Type_Summary!$A$5:$A$6,Type_Summary!$G$5:$G$6,$D$3),$D$3)*0.1,IFERROR(_xludf.XLOOKUP($E28,Product_Summary!$A$5:$A$32,Product_Summary!$G$5:$G$32,$D$3),$D$3)*0.3,IFERROR(_xludf.XLOOKUP($F28,Account_Summary!$A$5:$A$198,Account_Summary!$G$5:$G$198,$D$3),$D$3)*0.3))</f>
        <v/>
      </c>
      <c r="M28" s="17" t="str">
        <f>IF($K28="","",_xludf.IFS($K28&gt;=0.55,"Very High",$K28&gt;=0.45,"High",$K28&gt;=0.35,"Moderate",TRUE,"Low"))</f>
        <v/>
      </c>
      <c r="N28" s="18" t="str">
        <f>IF($K28="","",_xludf.IFS($K28&gt;=0.55,"Adopt smoothing by default; phase forecast over expected days and test P75/P90 sensitivity.",$K28&gt;=0.45,"Model a smoothing scenario; use expected spread days in forecast.",$K28&gt;=0.35,"Flag for commercial review; apply light smoothing if project-specific evidence supports it.",TRUE,"No default smoothing; assume short/same-day spread unless contract/customer evidence changes."))</f>
        <v/>
      </c>
    </row>
    <row r="29" spans="1:14" ht="10" customHeight="1" x14ac:dyDescent="0.35">
      <c r="A29" s="16"/>
      <c r="B29" s="17"/>
      <c r="C29" s="17"/>
      <c r="D29" s="17"/>
      <c r="E29" s="17"/>
      <c r="F29" s="17"/>
      <c r="G29" s="24" t="str">
        <f>IF($C29="","",IFERROR(_xludf.XLOOKUP($C29,Category_Summary!$A$5:$A$18,Category_Summary!$F$5:$F$18,$B$3),$B$3))</f>
        <v/>
      </c>
      <c r="H29" s="24" t="str">
        <f>IF($D29="","",IFERROR(_xludf.XLOOKUP($D29,Type_Summary!$A$5:$A$6,Type_Summary!$F$5:$F$6,$B$3),$B$3))</f>
        <v/>
      </c>
      <c r="I29" s="24" t="str">
        <f>IF($E29="","",IFERROR(_xludf.XLOOKUP($E29,Product_Summary!$A$5:$A$32,Product_Summary!$F$5:$F$32,$B$3),$B$3))</f>
        <v/>
      </c>
      <c r="J29" s="24" t="str">
        <f>IF($F29="","",IFERROR(_xludf.XLOOKUP($F29,Account_Summary!$A$5:$A$198,Account_Summary!$F$5:$F$198,$B$3),$B$3))</f>
        <v/>
      </c>
      <c r="K29" s="24" t="str">
        <f t="shared" si="0"/>
        <v/>
      </c>
      <c r="L29" s="25" t="str">
        <f>IF(LEN(TRIM($C29&amp;$D29&amp;$E29&amp;$F29))=0,"",SUM(IFERROR(_xludf.XLOOKUP($C29,Category_Summary!$A$5:$A$18,Category_Summary!$G$5:$G$18,$D$3),$D$3)*0.3,IFERROR(_xludf.XLOOKUP($D29,Type_Summary!$A$5:$A$6,Type_Summary!$G$5:$G$6,$D$3),$D$3)*0.1,IFERROR(_xludf.XLOOKUP($E29,Product_Summary!$A$5:$A$32,Product_Summary!$G$5:$G$32,$D$3),$D$3)*0.3,IFERROR(_xludf.XLOOKUP($F29,Account_Summary!$A$5:$A$198,Account_Summary!$G$5:$G$198,$D$3),$D$3)*0.3))</f>
        <v/>
      </c>
      <c r="M29" s="17" t="str">
        <f>IF($K29="","",_xludf.IFS($K29&gt;=0.55,"Very High",$K29&gt;=0.45,"High",$K29&gt;=0.35,"Moderate",TRUE,"Low"))</f>
        <v/>
      </c>
      <c r="N29" s="18" t="str">
        <f>IF($K29="","",_xludf.IFS($K29&gt;=0.55,"Adopt smoothing by default; phase forecast over expected days and test P75/P90 sensitivity.",$K29&gt;=0.45,"Model a smoothing scenario; use expected spread days in forecast.",$K29&gt;=0.35,"Flag for commercial review; apply light smoothing if project-specific evidence supports it.",TRUE,"No default smoothing; assume short/same-day spread unless contract/customer evidence changes."))</f>
        <v/>
      </c>
    </row>
    <row r="30" spans="1:14" ht="10" customHeight="1" x14ac:dyDescent="0.35">
      <c r="A30" s="16"/>
      <c r="B30" s="17"/>
      <c r="C30" s="17"/>
      <c r="D30" s="17"/>
      <c r="E30" s="17"/>
      <c r="F30" s="17"/>
      <c r="G30" s="24" t="str">
        <f>IF($C30="","",IFERROR(_xludf.XLOOKUP($C30,Category_Summary!$A$5:$A$18,Category_Summary!$F$5:$F$18,$B$3),$B$3))</f>
        <v/>
      </c>
      <c r="H30" s="24" t="str">
        <f>IF($D30="","",IFERROR(_xludf.XLOOKUP($D30,Type_Summary!$A$5:$A$6,Type_Summary!$F$5:$F$6,$B$3),$B$3))</f>
        <v/>
      </c>
      <c r="I30" s="24" t="str">
        <f>IF($E30="","",IFERROR(_xludf.XLOOKUP($E30,Product_Summary!$A$5:$A$32,Product_Summary!$F$5:$F$32,$B$3),$B$3))</f>
        <v/>
      </c>
      <c r="J30" s="24" t="str">
        <f>IF($F30="","",IFERROR(_xludf.XLOOKUP($F30,Account_Summary!$A$5:$A$198,Account_Summary!$F$5:$F$198,$B$3),$B$3))</f>
        <v/>
      </c>
      <c r="K30" s="24" t="str">
        <f t="shared" si="0"/>
        <v/>
      </c>
      <c r="L30" s="25" t="str">
        <f>IF(LEN(TRIM($C30&amp;$D30&amp;$E30&amp;$F30))=0,"",SUM(IFERROR(_xludf.XLOOKUP($C30,Category_Summary!$A$5:$A$18,Category_Summary!$G$5:$G$18,$D$3),$D$3)*0.3,IFERROR(_xludf.XLOOKUP($D30,Type_Summary!$A$5:$A$6,Type_Summary!$G$5:$G$6,$D$3),$D$3)*0.1,IFERROR(_xludf.XLOOKUP($E30,Product_Summary!$A$5:$A$32,Product_Summary!$G$5:$G$32,$D$3),$D$3)*0.3,IFERROR(_xludf.XLOOKUP($F30,Account_Summary!$A$5:$A$198,Account_Summary!$G$5:$G$198,$D$3),$D$3)*0.3))</f>
        <v/>
      </c>
      <c r="M30" s="17" t="str">
        <f>IF($K30="","",_xludf.IFS($K30&gt;=0.55,"Very High",$K30&gt;=0.45,"High",$K30&gt;=0.35,"Moderate",TRUE,"Low"))</f>
        <v/>
      </c>
      <c r="N30" s="18" t="str">
        <f>IF($K30="","",_xludf.IFS($K30&gt;=0.55,"Adopt smoothing by default; phase forecast over expected days and test P75/P90 sensitivity.",$K30&gt;=0.45,"Model a smoothing scenario; use expected spread days in forecast.",$K30&gt;=0.35,"Flag for commercial review; apply light smoothing if project-specific evidence supports it.",TRUE,"No default smoothing; assume short/same-day spread unless contract/customer evidence changes."))</f>
        <v/>
      </c>
    </row>
    <row r="31" spans="1:14" ht="10" customHeight="1" x14ac:dyDescent="0.35">
      <c r="A31" s="16"/>
      <c r="B31" s="17"/>
      <c r="C31" s="17"/>
      <c r="D31" s="17"/>
      <c r="E31" s="17"/>
      <c r="F31" s="17"/>
      <c r="G31" s="24" t="str">
        <f>IF($C31="","",IFERROR(_xludf.XLOOKUP($C31,Category_Summary!$A$5:$A$18,Category_Summary!$F$5:$F$18,$B$3),$B$3))</f>
        <v/>
      </c>
      <c r="H31" s="24" t="str">
        <f>IF($D31="","",IFERROR(_xludf.XLOOKUP($D31,Type_Summary!$A$5:$A$6,Type_Summary!$F$5:$F$6,$B$3),$B$3))</f>
        <v/>
      </c>
      <c r="I31" s="24" t="str">
        <f>IF($E31="","",IFERROR(_xludf.XLOOKUP($E31,Product_Summary!$A$5:$A$32,Product_Summary!$F$5:$F$32,$B$3),$B$3))</f>
        <v/>
      </c>
      <c r="J31" s="24" t="str">
        <f>IF($F31="","",IFERROR(_xludf.XLOOKUP($F31,Account_Summary!$A$5:$A$198,Account_Summary!$F$5:$F$198,$B$3),$B$3))</f>
        <v/>
      </c>
      <c r="K31" s="24" t="str">
        <f t="shared" si="0"/>
        <v/>
      </c>
      <c r="L31" s="25" t="str">
        <f>IF(LEN(TRIM($C31&amp;$D31&amp;$E31&amp;$F31))=0,"",SUM(IFERROR(_xludf.XLOOKUP($C31,Category_Summary!$A$5:$A$18,Category_Summary!$G$5:$G$18,$D$3),$D$3)*0.3,IFERROR(_xludf.XLOOKUP($D31,Type_Summary!$A$5:$A$6,Type_Summary!$G$5:$G$6,$D$3),$D$3)*0.1,IFERROR(_xludf.XLOOKUP($E31,Product_Summary!$A$5:$A$32,Product_Summary!$G$5:$G$32,$D$3),$D$3)*0.3,IFERROR(_xludf.XLOOKUP($F31,Account_Summary!$A$5:$A$198,Account_Summary!$G$5:$G$198,$D$3),$D$3)*0.3))</f>
        <v/>
      </c>
      <c r="M31" s="17" t="str">
        <f>IF($K31="","",_xludf.IFS($K31&gt;=0.55,"Very High",$K31&gt;=0.45,"High",$K31&gt;=0.35,"Moderate",TRUE,"Low"))</f>
        <v/>
      </c>
      <c r="N31" s="18" t="str">
        <f>IF($K31="","",_xludf.IFS($K31&gt;=0.55,"Adopt smoothing by default; phase forecast over expected days and test P75/P90 sensitivity.",$K31&gt;=0.45,"Model a smoothing scenario; use expected spread days in forecast.",$K31&gt;=0.35,"Flag for commercial review; apply light smoothing if project-specific evidence supports it.",TRUE,"No default smoothing; assume short/same-day spread unless contract/customer evidence changes."))</f>
        <v/>
      </c>
    </row>
    <row r="32" spans="1:14" ht="10" customHeight="1" x14ac:dyDescent="0.35">
      <c r="A32" s="16"/>
      <c r="B32" s="17"/>
      <c r="C32" s="17"/>
      <c r="D32" s="17"/>
      <c r="E32" s="17"/>
      <c r="F32" s="17"/>
      <c r="G32" s="24" t="str">
        <f>IF($C32="","",IFERROR(_xludf.XLOOKUP($C32,Category_Summary!$A$5:$A$18,Category_Summary!$F$5:$F$18,$B$3),$B$3))</f>
        <v/>
      </c>
      <c r="H32" s="24" t="str">
        <f>IF($D32="","",IFERROR(_xludf.XLOOKUP($D32,Type_Summary!$A$5:$A$6,Type_Summary!$F$5:$F$6,$B$3),$B$3))</f>
        <v/>
      </c>
      <c r="I32" s="24" t="str">
        <f>IF($E32="","",IFERROR(_xludf.XLOOKUP($E32,Product_Summary!$A$5:$A$32,Product_Summary!$F$5:$F$32,$B$3),$B$3))</f>
        <v/>
      </c>
      <c r="J32" s="24" t="str">
        <f>IF($F32="","",IFERROR(_xludf.XLOOKUP($F32,Account_Summary!$A$5:$A$198,Account_Summary!$F$5:$F$198,$B$3),$B$3))</f>
        <v/>
      </c>
      <c r="K32" s="24" t="str">
        <f t="shared" si="0"/>
        <v/>
      </c>
      <c r="L32" s="25" t="str">
        <f>IF(LEN(TRIM($C32&amp;$D32&amp;$E32&amp;$F32))=0,"",SUM(IFERROR(_xludf.XLOOKUP($C32,Category_Summary!$A$5:$A$18,Category_Summary!$G$5:$G$18,$D$3),$D$3)*0.3,IFERROR(_xludf.XLOOKUP($D32,Type_Summary!$A$5:$A$6,Type_Summary!$G$5:$G$6,$D$3),$D$3)*0.1,IFERROR(_xludf.XLOOKUP($E32,Product_Summary!$A$5:$A$32,Product_Summary!$G$5:$G$32,$D$3),$D$3)*0.3,IFERROR(_xludf.XLOOKUP($F32,Account_Summary!$A$5:$A$198,Account_Summary!$G$5:$G$198,$D$3),$D$3)*0.3))</f>
        <v/>
      </c>
      <c r="M32" s="17" t="str">
        <f>IF($K32="","",_xludf.IFS($K32&gt;=0.55,"Very High",$K32&gt;=0.45,"High",$K32&gt;=0.35,"Moderate",TRUE,"Low"))</f>
        <v/>
      </c>
      <c r="N32" s="18" t="str">
        <f>IF($K32="","",_xludf.IFS($K32&gt;=0.55,"Adopt smoothing by default; phase forecast over expected days and test P75/P90 sensitivity.",$K32&gt;=0.45,"Model a smoothing scenario; use expected spread days in forecast.",$K32&gt;=0.35,"Flag for commercial review; apply light smoothing if project-specific evidence supports it.",TRUE,"No default smoothing; assume short/same-day spread unless contract/customer evidence changes."))</f>
        <v/>
      </c>
    </row>
    <row r="33" spans="1:14" ht="10" customHeight="1" x14ac:dyDescent="0.35">
      <c r="A33" s="16"/>
      <c r="B33" s="17"/>
      <c r="C33" s="17"/>
      <c r="D33" s="17"/>
      <c r="E33" s="17"/>
      <c r="F33" s="17"/>
      <c r="G33" s="24" t="str">
        <f>IF($C33="","",IFERROR(_xludf.XLOOKUP($C33,Category_Summary!$A$5:$A$18,Category_Summary!$F$5:$F$18,$B$3),$B$3))</f>
        <v/>
      </c>
      <c r="H33" s="24" t="str">
        <f>IF($D33="","",IFERROR(_xludf.XLOOKUP($D33,Type_Summary!$A$5:$A$6,Type_Summary!$F$5:$F$6,$B$3),$B$3))</f>
        <v/>
      </c>
      <c r="I33" s="24" t="str">
        <f>IF($E33="","",IFERROR(_xludf.XLOOKUP($E33,Product_Summary!$A$5:$A$32,Product_Summary!$F$5:$F$32,$B$3),$B$3))</f>
        <v/>
      </c>
      <c r="J33" s="24" t="str">
        <f>IF($F33="","",IFERROR(_xludf.XLOOKUP($F33,Account_Summary!$A$5:$A$198,Account_Summary!$F$5:$F$198,$B$3),$B$3))</f>
        <v/>
      </c>
      <c r="K33" s="24" t="str">
        <f t="shared" si="0"/>
        <v/>
      </c>
      <c r="L33" s="25" t="str">
        <f>IF(LEN(TRIM($C33&amp;$D33&amp;$E33&amp;$F33))=0,"",SUM(IFERROR(_xludf.XLOOKUP($C33,Category_Summary!$A$5:$A$18,Category_Summary!$G$5:$G$18,$D$3),$D$3)*0.3,IFERROR(_xludf.XLOOKUP($D33,Type_Summary!$A$5:$A$6,Type_Summary!$G$5:$G$6,$D$3),$D$3)*0.1,IFERROR(_xludf.XLOOKUP($E33,Product_Summary!$A$5:$A$32,Product_Summary!$G$5:$G$32,$D$3),$D$3)*0.3,IFERROR(_xludf.XLOOKUP($F33,Account_Summary!$A$5:$A$198,Account_Summary!$G$5:$G$198,$D$3),$D$3)*0.3))</f>
        <v/>
      </c>
      <c r="M33" s="17" t="str">
        <f>IF($K33="","",_xludf.IFS($K33&gt;=0.55,"Very High",$K33&gt;=0.45,"High",$K33&gt;=0.35,"Moderate",TRUE,"Low"))</f>
        <v/>
      </c>
      <c r="N33" s="18" t="str">
        <f>IF($K33="","",_xludf.IFS($K33&gt;=0.55,"Adopt smoothing by default; phase forecast over expected days and test P75/P90 sensitivity.",$K33&gt;=0.45,"Model a smoothing scenario; use expected spread days in forecast.",$K33&gt;=0.35,"Flag for commercial review; apply light smoothing if project-specific evidence supports it.",TRUE,"No default smoothing; assume short/same-day spread unless contract/customer evidence changes."))</f>
        <v/>
      </c>
    </row>
    <row r="34" spans="1:14" ht="10" customHeight="1" x14ac:dyDescent="0.35">
      <c r="A34" s="16"/>
      <c r="B34" s="17"/>
      <c r="C34" s="17"/>
      <c r="D34" s="17"/>
      <c r="E34" s="17"/>
      <c r="F34" s="17"/>
      <c r="G34" s="24" t="str">
        <f>IF($C34="","",IFERROR(_xludf.XLOOKUP($C34,Category_Summary!$A$5:$A$18,Category_Summary!$F$5:$F$18,$B$3),$B$3))</f>
        <v/>
      </c>
      <c r="H34" s="24" t="str">
        <f>IF($D34="","",IFERROR(_xludf.XLOOKUP($D34,Type_Summary!$A$5:$A$6,Type_Summary!$F$5:$F$6,$B$3),$B$3))</f>
        <v/>
      </c>
      <c r="I34" s="24" t="str">
        <f>IF($E34="","",IFERROR(_xludf.XLOOKUP($E34,Product_Summary!$A$5:$A$32,Product_Summary!$F$5:$F$32,$B$3),$B$3))</f>
        <v/>
      </c>
      <c r="J34" s="24" t="str">
        <f>IF($F34="","",IFERROR(_xludf.XLOOKUP($F34,Account_Summary!$A$5:$A$198,Account_Summary!$F$5:$F$198,$B$3),$B$3))</f>
        <v/>
      </c>
      <c r="K34" s="24" t="str">
        <f t="shared" si="0"/>
        <v/>
      </c>
      <c r="L34" s="25" t="str">
        <f>IF(LEN(TRIM($C34&amp;$D34&amp;$E34&amp;$F34))=0,"",SUM(IFERROR(_xludf.XLOOKUP($C34,Category_Summary!$A$5:$A$18,Category_Summary!$G$5:$G$18,$D$3),$D$3)*0.3,IFERROR(_xludf.XLOOKUP($D34,Type_Summary!$A$5:$A$6,Type_Summary!$G$5:$G$6,$D$3),$D$3)*0.1,IFERROR(_xludf.XLOOKUP($E34,Product_Summary!$A$5:$A$32,Product_Summary!$G$5:$G$32,$D$3),$D$3)*0.3,IFERROR(_xludf.XLOOKUP($F34,Account_Summary!$A$5:$A$198,Account_Summary!$G$5:$G$198,$D$3),$D$3)*0.3))</f>
        <v/>
      </c>
      <c r="M34" s="17" t="str">
        <f>IF($K34="","",_xludf.IFS($K34&gt;=0.55,"Very High",$K34&gt;=0.45,"High",$K34&gt;=0.35,"Moderate",TRUE,"Low"))</f>
        <v/>
      </c>
      <c r="N34" s="18" t="str">
        <f>IF($K34="","",_xludf.IFS($K34&gt;=0.55,"Adopt smoothing by default; phase forecast over expected days and test P75/P90 sensitivity.",$K34&gt;=0.45,"Model a smoothing scenario; use expected spread days in forecast.",$K34&gt;=0.35,"Flag for commercial review; apply light smoothing if project-specific evidence supports it.",TRUE,"No default smoothing; assume short/same-day spread unless contract/customer evidence changes."))</f>
        <v/>
      </c>
    </row>
    <row r="35" spans="1:14" ht="10" customHeight="1" x14ac:dyDescent="0.35">
      <c r="A35" s="16"/>
      <c r="B35" s="17"/>
      <c r="C35" s="17"/>
      <c r="D35" s="17"/>
      <c r="E35" s="17"/>
      <c r="F35" s="17"/>
      <c r="G35" s="24" t="str">
        <f>IF($C35="","",IFERROR(_xludf.XLOOKUP($C35,Category_Summary!$A$5:$A$18,Category_Summary!$F$5:$F$18,$B$3),$B$3))</f>
        <v/>
      </c>
      <c r="H35" s="24" t="str">
        <f>IF($D35="","",IFERROR(_xludf.XLOOKUP($D35,Type_Summary!$A$5:$A$6,Type_Summary!$F$5:$F$6,$B$3),$B$3))</f>
        <v/>
      </c>
      <c r="I35" s="24" t="str">
        <f>IF($E35="","",IFERROR(_xludf.XLOOKUP($E35,Product_Summary!$A$5:$A$32,Product_Summary!$F$5:$F$32,$B$3),$B$3))</f>
        <v/>
      </c>
      <c r="J35" s="24" t="str">
        <f>IF($F35="","",IFERROR(_xludf.XLOOKUP($F35,Account_Summary!$A$5:$A$198,Account_Summary!$F$5:$F$198,$B$3),$B$3))</f>
        <v/>
      </c>
      <c r="K35" s="24" t="str">
        <f t="shared" si="0"/>
        <v/>
      </c>
      <c r="L35" s="25" t="str">
        <f>IF(LEN(TRIM($C35&amp;$D35&amp;$E35&amp;$F35))=0,"",SUM(IFERROR(_xludf.XLOOKUP($C35,Category_Summary!$A$5:$A$18,Category_Summary!$G$5:$G$18,$D$3),$D$3)*0.3,IFERROR(_xludf.XLOOKUP($D35,Type_Summary!$A$5:$A$6,Type_Summary!$G$5:$G$6,$D$3),$D$3)*0.1,IFERROR(_xludf.XLOOKUP($E35,Product_Summary!$A$5:$A$32,Product_Summary!$G$5:$G$32,$D$3),$D$3)*0.3,IFERROR(_xludf.XLOOKUP($F35,Account_Summary!$A$5:$A$198,Account_Summary!$G$5:$G$198,$D$3),$D$3)*0.3))</f>
        <v/>
      </c>
      <c r="M35" s="17" t="str">
        <f>IF($K35="","",_xludf.IFS($K35&gt;=0.55,"Very High",$K35&gt;=0.45,"High",$K35&gt;=0.35,"Moderate",TRUE,"Low"))</f>
        <v/>
      </c>
      <c r="N35" s="18" t="str">
        <f>IF($K35="","",_xludf.IFS($K35&gt;=0.55,"Adopt smoothing by default; phase forecast over expected days and test P75/P90 sensitivity.",$K35&gt;=0.45,"Model a smoothing scenario; use expected spread days in forecast.",$K35&gt;=0.35,"Flag for commercial review; apply light smoothing if project-specific evidence supports it.",TRUE,"No default smoothing; assume short/same-day spread unless contract/customer evidence changes."))</f>
        <v/>
      </c>
    </row>
    <row r="36" spans="1:14" ht="10" customHeight="1" x14ac:dyDescent="0.35">
      <c r="A36" s="16"/>
      <c r="B36" s="17"/>
      <c r="C36" s="17"/>
      <c r="D36" s="17"/>
      <c r="E36" s="17"/>
      <c r="F36" s="17"/>
      <c r="G36" s="24" t="str">
        <f>IF($C36="","",IFERROR(_xludf.XLOOKUP($C36,Category_Summary!$A$5:$A$18,Category_Summary!$F$5:$F$18,$B$3),$B$3))</f>
        <v/>
      </c>
      <c r="H36" s="24" t="str">
        <f>IF($D36="","",IFERROR(_xludf.XLOOKUP($D36,Type_Summary!$A$5:$A$6,Type_Summary!$F$5:$F$6,$B$3),$B$3))</f>
        <v/>
      </c>
      <c r="I36" s="24" t="str">
        <f>IF($E36="","",IFERROR(_xludf.XLOOKUP($E36,Product_Summary!$A$5:$A$32,Product_Summary!$F$5:$F$32,$B$3),$B$3))</f>
        <v/>
      </c>
      <c r="J36" s="24" t="str">
        <f>IF($F36="","",IFERROR(_xludf.XLOOKUP($F36,Account_Summary!$A$5:$A$198,Account_Summary!$F$5:$F$198,$B$3),$B$3))</f>
        <v/>
      </c>
      <c r="K36" s="24" t="str">
        <f t="shared" si="0"/>
        <v/>
      </c>
      <c r="L36" s="25" t="str">
        <f>IF(LEN(TRIM($C36&amp;$D36&amp;$E36&amp;$F36))=0,"",SUM(IFERROR(_xludf.XLOOKUP($C36,Category_Summary!$A$5:$A$18,Category_Summary!$G$5:$G$18,$D$3),$D$3)*0.3,IFERROR(_xludf.XLOOKUP($D36,Type_Summary!$A$5:$A$6,Type_Summary!$G$5:$G$6,$D$3),$D$3)*0.1,IFERROR(_xludf.XLOOKUP($E36,Product_Summary!$A$5:$A$32,Product_Summary!$G$5:$G$32,$D$3),$D$3)*0.3,IFERROR(_xludf.XLOOKUP($F36,Account_Summary!$A$5:$A$198,Account_Summary!$G$5:$G$198,$D$3),$D$3)*0.3))</f>
        <v/>
      </c>
      <c r="M36" s="17" t="str">
        <f>IF($K36="","",_xludf.IFS($K36&gt;=0.55,"Very High",$K36&gt;=0.45,"High",$K36&gt;=0.35,"Moderate",TRUE,"Low"))</f>
        <v/>
      </c>
      <c r="N36" s="18" t="str">
        <f>IF($K36="","",_xludf.IFS($K36&gt;=0.55,"Adopt smoothing by default; phase forecast over expected days and test P75/P90 sensitivity.",$K36&gt;=0.45,"Model a smoothing scenario; use expected spread days in forecast.",$K36&gt;=0.35,"Flag for commercial review; apply light smoothing if project-specific evidence supports it.",TRUE,"No default smoothing; assume short/same-day spread unless contract/customer evidence changes."))</f>
        <v/>
      </c>
    </row>
    <row r="37" spans="1:14" ht="10" customHeight="1" x14ac:dyDescent="0.35">
      <c r="A37" s="16"/>
      <c r="B37" s="17"/>
      <c r="C37" s="17"/>
      <c r="D37" s="17"/>
      <c r="E37" s="17"/>
      <c r="F37" s="17"/>
      <c r="G37" s="24" t="str">
        <f>IF($C37="","",IFERROR(_xludf.XLOOKUP($C37,Category_Summary!$A$5:$A$18,Category_Summary!$F$5:$F$18,$B$3),$B$3))</f>
        <v/>
      </c>
      <c r="H37" s="24" t="str">
        <f>IF($D37="","",IFERROR(_xludf.XLOOKUP($D37,Type_Summary!$A$5:$A$6,Type_Summary!$F$5:$F$6,$B$3),$B$3))</f>
        <v/>
      </c>
      <c r="I37" s="24" t="str">
        <f>IF($E37="","",IFERROR(_xludf.XLOOKUP($E37,Product_Summary!$A$5:$A$32,Product_Summary!$F$5:$F$32,$B$3),$B$3))</f>
        <v/>
      </c>
      <c r="J37" s="24" t="str">
        <f>IF($F37="","",IFERROR(_xludf.XLOOKUP($F37,Account_Summary!$A$5:$A$198,Account_Summary!$F$5:$F$198,$B$3),$B$3))</f>
        <v/>
      </c>
      <c r="K37" s="24" t="str">
        <f t="shared" si="0"/>
        <v/>
      </c>
      <c r="L37" s="25" t="str">
        <f>IF(LEN(TRIM($C37&amp;$D37&amp;$E37&amp;$F37))=0,"",SUM(IFERROR(_xludf.XLOOKUP($C37,Category_Summary!$A$5:$A$18,Category_Summary!$G$5:$G$18,$D$3),$D$3)*0.3,IFERROR(_xludf.XLOOKUP($D37,Type_Summary!$A$5:$A$6,Type_Summary!$G$5:$G$6,$D$3),$D$3)*0.1,IFERROR(_xludf.XLOOKUP($E37,Product_Summary!$A$5:$A$32,Product_Summary!$G$5:$G$32,$D$3),$D$3)*0.3,IFERROR(_xludf.XLOOKUP($F37,Account_Summary!$A$5:$A$198,Account_Summary!$G$5:$G$198,$D$3),$D$3)*0.3))</f>
        <v/>
      </c>
      <c r="M37" s="17" t="str">
        <f>IF($K37="","",_xludf.IFS($K37&gt;=0.55,"Very High",$K37&gt;=0.45,"High",$K37&gt;=0.35,"Moderate",TRUE,"Low"))</f>
        <v/>
      </c>
      <c r="N37" s="18" t="str">
        <f>IF($K37="","",_xludf.IFS($K37&gt;=0.55,"Adopt smoothing by default; phase forecast over expected days and test P75/P90 sensitivity.",$K37&gt;=0.45,"Model a smoothing scenario; use expected spread days in forecast.",$K37&gt;=0.35,"Flag for commercial review; apply light smoothing if project-specific evidence supports it.",TRUE,"No default smoothing; assume short/same-day spread unless contract/customer evidence changes."))</f>
        <v/>
      </c>
    </row>
    <row r="38" spans="1:14" ht="10" customHeight="1" x14ac:dyDescent="0.35">
      <c r="A38" s="16"/>
      <c r="B38" s="17"/>
      <c r="C38" s="17"/>
      <c r="D38" s="17"/>
      <c r="E38" s="17"/>
      <c r="F38" s="17"/>
      <c r="G38" s="24" t="str">
        <f>IF($C38="","",IFERROR(_xludf.XLOOKUP($C38,Category_Summary!$A$5:$A$18,Category_Summary!$F$5:$F$18,$B$3),$B$3))</f>
        <v/>
      </c>
      <c r="H38" s="24" t="str">
        <f>IF($D38="","",IFERROR(_xludf.XLOOKUP($D38,Type_Summary!$A$5:$A$6,Type_Summary!$F$5:$F$6,$B$3),$B$3))</f>
        <v/>
      </c>
      <c r="I38" s="24" t="str">
        <f>IF($E38="","",IFERROR(_xludf.XLOOKUP($E38,Product_Summary!$A$5:$A$32,Product_Summary!$F$5:$F$32,$B$3),$B$3))</f>
        <v/>
      </c>
      <c r="J38" s="24" t="str">
        <f>IF($F38="","",IFERROR(_xludf.XLOOKUP($F38,Account_Summary!$A$5:$A$198,Account_Summary!$F$5:$F$198,$B$3),$B$3))</f>
        <v/>
      </c>
      <c r="K38" s="24" t="str">
        <f t="shared" ref="K38:K69" si="1">IF(LEN(TRIM($C38&amp;$D38&amp;$E38&amp;$F38))=0,"",SUM($G38*0.3,$H38*0.1,$I38*0.3,$J38*0.3))</f>
        <v/>
      </c>
      <c r="L38" s="25" t="str">
        <f>IF(LEN(TRIM($C38&amp;$D38&amp;$E38&amp;$F38))=0,"",SUM(IFERROR(_xludf.XLOOKUP($C38,Category_Summary!$A$5:$A$18,Category_Summary!$G$5:$G$18,$D$3),$D$3)*0.3,IFERROR(_xludf.XLOOKUP($D38,Type_Summary!$A$5:$A$6,Type_Summary!$G$5:$G$6,$D$3),$D$3)*0.1,IFERROR(_xludf.XLOOKUP($E38,Product_Summary!$A$5:$A$32,Product_Summary!$G$5:$G$32,$D$3),$D$3)*0.3,IFERROR(_xludf.XLOOKUP($F38,Account_Summary!$A$5:$A$198,Account_Summary!$G$5:$G$198,$D$3),$D$3)*0.3))</f>
        <v/>
      </c>
      <c r="M38" s="17" t="str">
        <f>IF($K38="","",_xludf.IFS($K38&gt;=0.55,"Very High",$K38&gt;=0.45,"High",$K38&gt;=0.35,"Moderate",TRUE,"Low"))</f>
        <v/>
      </c>
      <c r="N38" s="18" t="str">
        <f>IF($K38="","",_xludf.IFS($K38&gt;=0.55,"Adopt smoothing by default; phase forecast over expected days and test P75/P90 sensitivity.",$K38&gt;=0.45,"Model a smoothing scenario; use expected spread days in forecast.",$K38&gt;=0.35,"Flag for commercial review; apply light smoothing if project-specific evidence supports it.",TRUE,"No default smoothing; assume short/same-day spread unless contract/customer evidence changes."))</f>
        <v/>
      </c>
    </row>
    <row r="39" spans="1:14" ht="10" customHeight="1" x14ac:dyDescent="0.35">
      <c r="A39" s="16"/>
      <c r="B39" s="17"/>
      <c r="C39" s="17"/>
      <c r="D39" s="17"/>
      <c r="E39" s="17"/>
      <c r="F39" s="17"/>
      <c r="G39" s="24" t="str">
        <f>IF($C39="","",IFERROR(_xludf.XLOOKUP($C39,Category_Summary!$A$5:$A$18,Category_Summary!$F$5:$F$18,$B$3),$B$3))</f>
        <v/>
      </c>
      <c r="H39" s="24" t="str">
        <f>IF($D39="","",IFERROR(_xludf.XLOOKUP($D39,Type_Summary!$A$5:$A$6,Type_Summary!$F$5:$F$6,$B$3),$B$3))</f>
        <v/>
      </c>
      <c r="I39" s="24" t="str">
        <f>IF($E39="","",IFERROR(_xludf.XLOOKUP($E39,Product_Summary!$A$5:$A$32,Product_Summary!$F$5:$F$32,$B$3),$B$3))</f>
        <v/>
      </c>
      <c r="J39" s="24" t="str">
        <f>IF($F39="","",IFERROR(_xludf.XLOOKUP($F39,Account_Summary!$A$5:$A$198,Account_Summary!$F$5:$F$198,$B$3),$B$3))</f>
        <v/>
      </c>
      <c r="K39" s="24" t="str">
        <f t="shared" si="1"/>
        <v/>
      </c>
      <c r="L39" s="25" t="str">
        <f>IF(LEN(TRIM($C39&amp;$D39&amp;$E39&amp;$F39))=0,"",SUM(IFERROR(_xludf.XLOOKUP($C39,Category_Summary!$A$5:$A$18,Category_Summary!$G$5:$G$18,$D$3),$D$3)*0.3,IFERROR(_xludf.XLOOKUP($D39,Type_Summary!$A$5:$A$6,Type_Summary!$G$5:$G$6,$D$3),$D$3)*0.1,IFERROR(_xludf.XLOOKUP($E39,Product_Summary!$A$5:$A$32,Product_Summary!$G$5:$G$32,$D$3),$D$3)*0.3,IFERROR(_xludf.XLOOKUP($F39,Account_Summary!$A$5:$A$198,Account_Summary!$G$5:$G$198,$D$3),$D$3)*0.3))</f>
        <v/>
      </c>
      <c r="M39" s="17" t="str">
        <f>IF($K39="","",_xludf.IFS($K39&gt;=0.55,"Very High",$K39&gt;=0.45,"High",$K39&gt;=0.35,"Moderate",TRUE,"Low"))</f>
        <v/>
      </c>
      <c r="N39" s="18" t="str">
        <f>IF($K39="","",_xludf.IFS($K39&gt;=0.55,"Adopt smoothing by default; phase forecast over expected days and test P75/P90 sensitivity.",$K39&gt;=0.45,"Model a smoothing scenario; use expected spread days in forecast.",$K39&gt;=0.35,"Flag for commercial review; apply light smoothing if project-specific evidence supports it.",TRUE,"No default smoothing; assume short/same-day spread unless contract/customer evidence changes."))</f>
        <v/>
      </c>
    </row>
    <row r="40" spans="1:14" ht="10" customHeight="1" x14ac:dyDescent="0.35">
      <c r="A40" s="16"/>
      <c r="B40" s="17"/>
      <c r="C40" s="17"/>
      <c r="D40" s="17"/>
      <c r="E40" s="17"/>
      <c r="F40" s="17"/>
      <c r="G40" s="24" t="str">
        <f>IF($C40="","",IFERROR(_xludf.XLOOKUP($C40,Category_Summary!$A$5:$A$18,Category_Summary!$F$5:$F$18,$B$3),$B$3))</f>
        <v/>
      </c>
      <c r="H40" s="24" t="str">
        <f>IF($D40="","",IFERROR(_xludf.XLOOKUP($D40,Type_Summary!$A$5:$A$6,Type_Summary!$F$5:$F$6,$B$3),$B$3))</f>
        <v/>
      </c>
      <c r="I40" s="24" t="str">
        <f>IF($E40="","",IFERROR(_xludf.XLOOKUP($E40,Product_Summary!$A$5:$A$32,Product_Summary!$F$5:$F$32,$B$3),$B$3))</f>
        <v/>
      </c>
      <c r="J40" s="24" t="str">
        <f>IF($F40="","",IFERROR(_xludf.XLOOKUP($F40,Account_Summary!$A$5:$A$198,Account_Summary!$F$5:$F$198,$B$3),$B$3))</f>
        <v/>
      </c>
      <c r="K40" s="24" t="str">
        <f t="shared" si="1"/>
        <v/>
      </c>
      <c r="L40" s="25" t="str">
        <f>IF(LEN(TRIM($C40&amp;$D40&amp;$E40&amp;$F40))=0,"",SUM(IFERROR(_xludf.XLOOKUP($C40,Category_Summary!$A$5:$A$18,Category_Summary!$G$5:$G$18,$D$3),$D$3)*0.3,IFERROR(_xludf.XLOOKUP($D40,Type_Summary!$A$5:$A$6,Type_Summary!$G$5:$G$6,$D$3),$D$3)*0.1,IFERROR(_xludf.XLOOKUP($E40,Product_Summary!$A$5:$A$32,Product_Summary!$G$5:$G$32,$D$3),$D$3)*0.3,IFERROR(_xludf.XLOOKUP($F40,Account_Summary!$A$5:$A$198,Account_Summary!$G$5:$G$198,$D$3),$D$3)*0.3))</f>
        <v/>
      </c>
      <c r="M40" s="17" t="str">
        <f>IF($K40="","",_xludf.IFS($K40&gt;=0.55,"Very High",$K40&gt;=0.45,"High",$K40&gt;=0.35,"Moderate",TRUE,"Low"))</f>
        <v/>
      </c>
      <c r="N40" s="18" t="str">
        <f>IF($K40="","",_xludf.IFS($K40&gt;=0.55,"Adopt smoothing by default; phase forecast over expected days and test P75/P90 sensitivity.",$K40&gt;=0.45,"Model a smoothing scenario; use expected spread days in forecast.",$K40&gt;=0.35,"Flag for commercial review; apply light smoothing if project-specific evidence supports it.",TRUE,"No default smoothing; assume short/same-day spread unless contract/customer evidence changes."))</f>
        <v/>
      </c>
    </row>
    <row r="41" spans="1:14" ht="10" customHeight="1" x14ac:dyDescent="0.35">
      <c r="A41" s="16"/>
      <c r="B41" s="17"/>
      <c r="C41" s="17"/>
      <c r="D41" s="17"/>
      <c r="E41" s="17"/>
      <c r="F41" s="17"/>
      <c r="G41" s="24" t="str">
        <f>IF($C41="","",IFERROR(_xludf.XLOOKUP($C41,Category_Summary!$A$5:$A$18,Category_Summary!$F$5:$F$18,$B$3),$B$3))</f>
        <v/>
      </c>
      <c r="H41" s="24" t="str">
        <f>IF($D41="","",IFERROR(_xludf.XLOOKUP($D41,Type_Summary!$A$5:$A$6,Type_Summary!$F$5:$F$6,$B$3),$B$3))</f>
        <v/>
      </c>
      <c r="I41" s="24" t="str">
        <f>IF($E41="","",IFERROR(_xludf.XLOOKUP($E41,Product_Summary!$A$5:$A$32,Product_Summary!$F$5:$F$32,$B$3),$B$3))</f>
        <v/>
      </c>
      <c r="J41" s="24" t="str">
        <f>IF($F41="","",IFERROR(_xludf.XLOOKUP($F41,Account_Summary!$A$5:$A$198,Account_Summary!$F$5:$F$198,$B$3),$B$3))</f>
        <v/>
      </c>
      <c r="K41" s="24" t="str">
        <f t="shared" si="1"/>
        <v/>
      </c>
      <c r="L41" s="25" t="str">
        <f>IF(LEN(TRIM($C41&amp;$D41&amp;$E41&amp;$F41))=0,"",SUM(IFERROR(_xludf.XLOOKUP($C41,Category_Summary!$A$5:$A$18,Category_Summary!$G$5:$G$18,$D$3),$D$3)*0.3,IFERROR(_xludf.XLOOKUP($D41,Type_Summary!$A$5:$A$6,Type_Summary!$G$5:$G$6,$D$3),$D$3)*0.1,IFERROR(_xludf.XLOOKUP($E41,Product_Summary!$A$5:$A$32,Product_Summary!$G$5:$G$32,$D$3),$D$3)*0.3,IFERROR(_xludf.XLOOKUP($F41,Account_Summary!$A$5:$A$198,Account_Summary!$G$5:$G$198,$D$3),$D$3)*0.3))</f>
        <v/>
      </c>
      <c r="M41" s="17" t="str">
        <f>IF($K41="","",_xludf.IFS($K41&gt;=0.55,"Very High",$K41&gt;=0.45,"High",$K41&gt;=0.35,"Moderate",TRUE,"Low"))</f>
        <v/>
      </c>
      <c r="N41" s="18" t="str">
        <f>IF($K41="","",_xludf.IFS($K41&gt;=0.55,"Adopt smoothing by default; phase forecast over expected days and test P75/P90 sensitivity.",$K41&gt;=0.45,"Model a smoothing scenario; use expected spread days in forecast.",$K41&gt;=0.35,"Flag for commercial review; apply light smoothing if project-specific evidence supports it.",TRUE,"No default smoothing; assume short/same-day spread unless contract/customer evidence changes."))</f>
        <v/>
      </c>
    </row>
    <row r="42" spans="1:14" ht="10" customHeight="1" x14ac:dyDescent="0.35">
      <c r="A42" s="16"/>
      <c r="B42" s="17"/>
      <c r="C42" s="17"/>
      <c r="D42" s="17"/>
      <c r="E42" s="17"/>
      <c r="F42" s="17"/>
      <c r="G42" s="24" t="str">
        <f>IF($C42="","",IFERROR(_xludf.XLOOKUP($C42,Category_Summary!$A$5:$A$18,Category_Summary!$F$5:$F$18,$B$3),$B$3))</f>
        <v/>
      </c>
      <c r="H42" s="24" t="str">
        <f>IF($D42="","",IFERROR(_xludf.XLOOKUP($D42,Type_Summary!$A$5:$A$6,Type_Summary!$F$5:$F$6,$B$3),$B$3))</f>
        <v/>
      </c>
      <c r="I42" s="24" t="str">
        <f>IF($E42="","",IFERROR(_xludf.XLOOKUP($E42,Product_Summary!$A$5:$A$32,Product_Summary!$F$5:$F$32,$B$3),$B$3))</f>
        <v/>
      </c>
      <c r="J42" s="24" t="str">
        <f>IF($F42="","",IFERROR(_xludf.XLOOKUP($F42,Account_Summary!$A$5:$A$198,Account_Summary!$F$5:$F$198,$B$3),$B$3))</f>
        <v/>
      </c>
      <c r="K42" s="24" t="str">
        <f t="shared" si="1"/>
        <v/>
      </c>
      <c r="L42" s="25" t="str">
        <f>IF(LEN(TRIM($C42&amp;$D42&amp;$E42&amp;$F42))=0,"",SUM(IFERROR(_xludf.XLOOKUP($C42,Category_Summary!$A$5:$A$18,Category_Summary!$G$5:$G$18,$D$3),$D$3)*0.3,IFERROR(_xludf.XLOOKUP($D42,Type_Summary!$A$5:$A$6,Type_Summary!$G$5:$G$6,$D$3),$D$3)*0.1,IFERROR(_xludf.XLOOKUP($E42,Product_Summary!$A$5:$A$32,Product_Summary!$G$5:$G$32,$D$3),$D$3)*0.3,IFERROR(_xludf.XLOOKUP($F42,Account_Summary!$A$5:$A$198,Account_Summary!$G$5:$G$198,$D$3),$D$3)*0.3))</f>
        <v/>
      </c>
      <c r="M42" s="17" t="str">
        <f>IF($K42="","",_xludf.IFS($K42&gt;=0.55,"Very High",$K42&gt;=0.45,"High",$K42&gt;=0.35,"Moderate",TRUE,"Low"))</f>
        <v/>
      </c>
      <c r="N42" s="18" t="str">
        <f>IF($K42="","",_xludf.IFS($K42&gt;=0.55,"Adopt smoothing by default; phase forecast over expected days and test P75/P90 sensitivity.",$K42&gt;=0.45,"Model a smoothing scenario; use expected spread days in forecast.",$K42&gt;=0.35,"Flag for commercial review; apply light smoothing if project-specific evidence supports it.",TRUE,"No default smoothing; assume short/same-day spread unless contract/customer evidence changes."))</f>
        <v/>
      </c>
    </row>
    <row r="43" spans="1:14" ht="10" customHeight="1" x14ac:dyDescent="0.35">
      <c r="A43" s="16"/>
      <c r="B43" s="17"/>
      <c r="C43" s="17"/>
      <c r="D43" s="17"/>
      <c r="E43" s="17"/>
      <c r="F43" s="17"/>
      <c r="G43" s="24" t="str">
        <f>IF($C43="","",IFERROR(_xludf.XLOOKUP($C43,Category_Summary!$A$5:$A$18,Category_Summary!$F$5:$F$18,$B$3),$B$3))</f>
        <v/>
      </c>
      <c r="H43" s="24" t="str">
        <f>IF($D43="","",IFERROR(_xludf.XLOOKUP($D43,Type_Summary!$A$5:$A$6,Type_Summary!$F$5:$F$6,$B$3),$B$3))</f>
        <v/>
      </c>
      <c r="I43" s="24" t="str">
        <f>IF($E43="","",IFERROR(_xludf.XLOOKUP($E43,Product_Summary!$A$5:$A$32,Product_Summary!$F$5:$F$32,$B$3),$B$3))</f>
        <v/>
      </c>
      <c r="J43" s="24" t="str">
        <f>IF($F43="","",IFERROR(_xludf.XLOOKUP($F43,Account_Summary!$A$5:$A$198,Account_Summary!$F$5:$F$198,$B$3),$B$3))</f>
        <v/>
      </c>
      <c r="K43" s="24" t="str">
        <f t="shared" si="1"/>
        <v/>
      </c>
      <c r="L43" s="25" t="str">
        <f>IF(LEN(TRIM($C43&amp;$D43&amp;$E43&amp;$F43))=0,"",SUM(IFERROR(_xludf.XLOOKUP($C43,Category_Summary!$A$5:$A$18,Category_Summary!$G$5:$G$18,$D$3),$D$3)*0.3,IFERROR(_xludf.XLOOKUP($D43,Type_Summary!$A$5:$A$6,Type_Summary!$G$5:$G$6,$D$3),$D$3)*0.1,IFERROR(_xludf.XLOOKUP($E43,Product_Summary!$A$5:$A$32,Product_Summary!$G$5:$G$32,$D$3),$D$3)*0.3,IFERROR(_xludf.XLOOKUP($F43,Account_Summary!$A$5:$A$198,Account_Summary!$G$5:$G$198,$D$3),$D$3)*0.3))</f>
        <v/>
      </c>
      <c r="M43" s="17" t="str">
        <f>IF($K43="","",_xludf.IFS($K43&gt;=0.55,"Very High",$K43&gt;=0.45,"High",$K43&gt;=0.35,"Moderate",TRUE,"Low"))</f>
        <v/>
      </c>
      <c r="N43" s="18" t="str">
        <f>IF($K43="","",_xludf.IFS($K43&gt;=0.55,"Adopt smoothing by default; phase forecast over expected days and test P75/P90 sensitivity.",$K43&gt;=0.45,"Model a smoothing scenario; use expected spread days in forecast.",$K43&gt;=0.35,"Flag for commercial review; apply light smoothing if project-specific evidence supports it.",TRUE,"No default smoothing; assume short/same-day spread unless contract/customer evidence changes."))</f>
        <v/>
      </c>
    </row>
    <row r="44" spans="1:14" ht="10" customHeight="1" x14ac:dyDescent="0.35">
      <c r="A44" s="16"/>
      <c r="B44" s="17"/>
      <c r="C44" s="17"/>
      <c r="D44" s="17"/>
      <c r="E44" s="17"/>
      <c r="F44" s="17"/>
      <c r="G44" s="24" t="str">
        <f>IF($C44="","",IFERROR(_xludf.XLOOKUP($C44,Category_Summary!$A$5:$A$18,Category_Summary!$F$5:$F$18,$B$3),$B$3))</f>
        <v/>
      </c>
      <c r="H44" s="24" t="str">
        <f>IF($D44="","",IFERROR(_xludf.XLOOKUP($D44,Type_Summary!$A$5:$A$6,Type_Summary!$F$5:$F$6,$B$3),$B$3))</f>
        <v/>
      </c>
      <c r="I44" s="24" t="str">
        <f>IF($E44="","",IFERROR(_xludf.XLOOKUP($E44,Product_Summary!$A$5:$A$32,Product_Summary!$F$5:$F$32,$B$3),$B$3))</f>
        <v/>
      </c>
      <c r="J44" s="24" t="str">
        <f>IF($F44="","",IFERROR(_xludf.XLOOKUP($F44,Account_Summary!$A$5:$A$198,Account_Summary!$F$5:$F$198,$B$3),$B$3))</f>
        <v/>
      </c>
      <c r="K44" s="24" t="str">
        <f t="shared" si="1"/>
        <v/>
      </c>
      <c r="L44" s="25" t="str">
        <f>IF(LEN(TRIM($C44&amp;$D44&amp;$E44&amp;$F44))=0,"",SUM(IFERROR(_xludf.XLOOKUP($C44,Category_Summary!$A$5:$A$18,Category_Summary!$G$5:$G$18,$D$3),$D$3)*0.3,IFERROR(_xludf.XLOOKUP($D44,Type_Summary!$A$5:$A$6,Type_Summary!$G$5:$G$6,$D$3),$D$3)*0.1,IFERROR(_xludf.XLOOKUP($E44,Product_Summary!$A$5:$A$32,Product_Summary!$G$5:$G$32,$D$3),$D$3)*0.3,IFERROR(_xludf.XLOOKUP($F44,Account_Summary!$A$5:$A$198,Account_Summary!$G$5:$G$198,$D$3),$D$3)*0.3))</f>
        <v/>
      </c>
      <c r="M44" s="17" t="str">
        <f>IF($K44="","",_xludf.IFS($K44&gt;=0.55,"Very High",$K44&gt;=0.45,"High",$K44&gt;=0.35,"Moderate",TRUE,"Low"))</f>
        <v/>
      </c>
      <c r="N44" s="18" t="str">
        <f>IF($K44="","",_xludf.IFS($K44&gt;=0.55,"Adopt smoothing by default; phase forecast over expected days and test P75/P90 sensitivity.",$K44&gt;=0.45,"Model a smoothing scenario; use expected spread days in forecast.",$K44&gt;=0.35,"Flag for commercial review; apply light smoothing if project-specific evidence supports it.",TRUE,"No default smoothing; assume short/same-day spread unless contract/customer evidence changes."))</f>
        <v/>
      </c>
    </row>
    <row r="45" spans="1:14" ht="10" customHeight="1" x14ac:dyDescent="0.35">
      <c r="A45" s="16"/>
      <c r="B45" s="17"/>
      <c r="C45" s="17"/>
      <c r="D45" s="17"/>
      <c r="E45" s="17"/>
      <c r="F45" s="17"/>
      <c r="G45" s="24" t="str">
        <f>IF($C45="","",IFERROR(_xludf.XLOOKUP($C45,Category_Summary!$A$5:$A$18,Category_Summary!$F$5:$F$18,$B$3),$B$3))</f>
        <v/>
      </c>
      <c r="H45" s="24" t="str">
        <f>IF($D45="","",IFERROR(_xludf.XLOOKUP($D45,Type_Summary!$A$5:$A$6,Type_Summary!$F$5:$F$6,$B$3),$B$3))</f>
        <v/>
      </c>
      <c r="I45" s="24" t="str">
        <f>IF($E45="","",IFERROR(_xludf.XLOOKUP($E45,Product_Summary!$A$5:$A$32,Product_Summary!$F$5:$F$32,$B$3),$B$3))</f>
        <v/>
      </c>
      <c r="J45" s="24" t="str">
        <f>IF($F45="","",IFERROR(_xludf.XLOOKUP($F45,Account_Summary!$A$5:$A$198,Account_Summary!$F$5:$F$198,$B$3),$B$3))</f>
        <v/>
      </c>
      <c r="K45" s="24" t="str">
        <f t="shared" si="1"/>
        <v/>
      </c>
      <c r="L45" s="25" t="str">
        <f>IF(LEN(TRIM($C45&amp;$D45&amp;$E45&amp;$F45))=0,"",SUM(IFERROR(_xludf.XLOOKUP($C45,Category_Summary!$A$5:$A$18,Category_Summary!$G$5:$G$18,$D$3),$D$3)*0.3,IFERROR(_xludf.XLOOKUP($D45,Type_Summary!$A$5:$A$6,Type_Summary!$G$5:$G$6,$D$3),$D$3)*0.1,IFERROR(_xludf.XLOOKUP($E45,Product_Summary!$A$5:$A$32,Product_Summary!$G$5:$G$32,$D$3),$D$3)*0.3,IFERROR(_xludf.XLOOKUP($F45,Account_Summary!$A$5:$A$198,Account_Summary!$G$5:$G$198,$D$3),$D$3)*0.3))</f>
        <v/>
      </c>
      <c r="M45" s="17" t="str">
        <f>IF($K45="","",_xludf.IFS($K45&gt;=0.55,"Very High",$K45&gt;=0.45,"High",$K45&gt;=0.35,"Moderate",TRUE,"Low"))</f>
        <v/>
      </c>
      <c r="N45" s="18" t="str">
        <f>IF($K45="","",_xludf.IFS($K45&gt;=0.55,"Adopt smoothing by default; phase forecast over expected days and test P75/P90 sensitivity.",$K45&gt;=0.45,"Model a smoothing scenario; use expected spread days in forecast.",$K45&gt;=0.35,"Flag for commercial review; apply light smoothing if project-specific evidence supports it.",TRUE,"No default smoothing; assume short/same-day spread unless contract/customer evidence changes."))</f>
        <v/>
      </c>
    </row>
    <row r="46" spans="1:14" ht="10" customHeight="1" x14ac:dyDescent="0.35">
      <c r="A46" s="16"/>
      <c r="B46" s="17"/>
      <c r="C46" s="17"/>
      <c r="D46" s="17"/>
      <c r="E46" s="17"/>
      <c r="F46" s="17"/>
      <c r="G46" s="24" t="str">
        <f>IF($C46="","",IFERROR(_xludf.XLOOKUP($C46,Category_Summary!$A$5:$A$18,Category_Summary!$F$5:$F$18,$B$3),$B$3))</f>
        <v/>
      </c>
      <c r="H46" s="24" t="str">
        <f>IF($D46="","",IFERROR(_xludf.XLOOKUP($D46,Type_Summary!$A$5:$A$6,Type_Summary!$F$5:$F$6,$B$3),$B$3))</f>
        <v/>
      </c>
      <c r="I46" s="24" t="str">
        <f>IF($E46="","",IFERROR(_xludf.XLOOKUP($E46,Product_Summary!$A$5:$A$32,Product_Summary!$F$5:$F$32,$B$3),$B$3))</f>
        <v/>
      </c>
      <c r="J46" s="24" t="str">
        <f>IF($F46="","",IFERROR(_xludf.XLOOKUP($F46,Account_Summary!$A$5:$A$198,Account_Summary!$F$5:$F$198,$B$3),$B$3))</f>
        <v/>
      </c>
      <c r="K46" s="24" t="str">
        <f t="shared" si="1"/>
        <v/>
      </c>
      <c r="L46" s="25" t="str">
        <f>IF(LEN(TRIM($C46&amp;$D46&amp;$E46&amp;$F46))=0,"",SUM(IFERROR(_xludf.XLOOKUP($C46,Category_Summary!$A$5:$A$18,Category_Summary!$G$5:$G$18,$D$3),$D$3)*0.3,IFERROR(_xludf.XLOOKUP($D46,Type_Summary!$A$5:$A$6,Type_Summary!$G$5:$G$6,$D$3),$D$3)*0.1,IFERROR(_xludf.XLOOKUP($E46,Product_Summary!$A$5:$A$32,Product_Summary!$G$5:$G$32,$D$3),$D$3)*0.3,IFERROR(_xludf.XLOOKUP($F46,Account_Summary!$A$5:$A$198,Account_Summary!$G$5:$G$198,$D$3),$D$3)*0.3))</f>
        <v/>
      </c>
      <c r="M46" s="17" t="str">
        <f>IF($K46="","",_xludf.IFS($K46&gt;=0.55,"Very High",$K46&gt;=0.45,"High",$K46&gt;=0.35,"Moderate",TRUE,"Low"))</f>
        <v/>
      </c>
      <c r="N46" s="18" t="str">
        <f>IF($K46="","",_xludf.IFS($K46&gt;=0.55,"Adopt smoothing by default; phase forecast over expected days and test P75/P90 sensitivity.",$K46&gt;=0.45,"Model a smoothing scenario; use expected spread days in forecast.",$K46&gt;=0.35,"Flag for commercial review; apply light smoothing if project-specific evidence supports it.",TRUE,"No default smoothing; assume short/same-day spread unless contract/customer evidence changes."))</f>
        <v/>
      </c>
    </row>
    <row r="47" spans="1:14" ht="10" customHeight="1" x14ac:dyDescent="0.35">
      <c r="A47" s="16"/>
      <c r="B47" s="17"/>
      <c r="C47" s="17"/>
      <c r="D47" s="17"/>
      <c r="E47" s="17"/>
      <c r="F47" s="17"/>
      <c r="G47" s="24" t="str">
        <f>IF($C47="","",IFERROR(_xludf.XLOOKUP($C47,Category_Summary!$A$5:$A$18,Category_Summary!$F$5:$F$18,$B$3),$B$3))</f>
        <v/>
      </c>
      <c r="H47" s="24" t="str">
        <f>IF($D47="","",IFERROR(_xludf.XLOOKUP($D47,Type_Summary!$A$5:$A$6,Type_Summary!$F$5:$F$6,$B$3),$B$3))</f>
        <v/>
      </c>
      <c r="I47" s="24" t="str">
        <f>IF($E47="","",IFERROR(_xludf.XLOOKUP($E47,Product_Summary!$A$5:$A$32,Product_Summary!$F$5:$F$32,$B$3),$B$3))</f>
        <v/>
      </c>
      <c r="J47" s="24" t="str">
        <f>IF($F47="","",IFERROR(_xludf.XLOOKUP($F47,Account_Summary!$A$5:$A$198,Account_Summary!$F$5:$F$198,$B$3),$B$3))</f>
        <v/>
      </c>
      <c r="K47" s="24" t="str">
        <f t="shared" si="1"/>
        <v/>
      </c>
      <c r="L47" s="25" t="str">
        <f>IF(LEN(TRIM($C47&amp;$D47&amp;$E47&amp;$F47))=0,"",SUM(IFERROR(_xludf.XLOOKUP($C47,Category_Summary!$A$5:$A$18,Category_Summary!$G$5:$G$18,$D$3),$D$3)*0.3,IFERROR(_xludf.XLOOKUP($D47,Type_Summary!$A$5:$A$6,Type_Summary!$G$5:$G$6,$D$3),$D$3)*0.1,IFERROR(_xludf.XLOOKUP($E47,Product_Summary!$A$5:$A$32,Product_Summary!$G$5:$G$32,$D$3),$D$3)*0.3,IFERROR(_xludf.XLOOKUP($F47,Account_Summary!$A$5:$A$198,Account_Summary!$G$5:$G$198,$D$3),$D$3)*0.3))</f>
        <v/>
      </c>
      <c r="M47" s="17" t="str">
        <f>IF($K47="","",_xludf.IFS($K47&gt;=0.55,"Very High",$K47&gt;=0.45,"High",$K47&gt;=0.35,"Moderate",TRUE,"Low"))</f>
        <v/>
      </c>
      <c r="N47" s="18" t="str">
        <f>IF($K47="","",_xludf.IFS($K47&gt;=0.55,"Adopt smoothing by default; phase forecast over expected days and test P75/P90 sensitivity.",$K47&gt;=0.45,"Model a smoothing scenario; use expected spread days in forecast.",$K47&gt;=0.35,"Flag for commercial review; apply light smoothing if project-specific evidence supports it.",TRUE,"No default smoothing; assume short/same-day spread unless contract/customer evidence changes."))</f>
        <v/>
      </c>
    </row>
    <row r="48" spans="1:14" ht="10" customHeight="1" x14ac:dyDescent="0.35">
      <c r="A48" s="16"/>
      <c r="B48" s="17"/>
      <c r="C48" s="17"/>
      <c r="D48" s="17"/>
      <c r="E48" s="17"/>
      <c r="F48" s="17"/>
      <c r="G48" s="24" t="str">
        <f>IF($C48="","",IFERROR(_xludf.XLOOKUP($C48,Category_Summary!$A$5:$A$18,Category_Summary!$F$5:$F$18,$B$3),$B$3))</f>
        <v/>
      </c>
      <c r="H48" s="24" t="str">
        <f>IF($D48="","",IFERROR(_xludf.XLOOKUP($D48,Type_Summary!$A$5:$A$6,Type_Summary!$F$5:$F$6,$B$3),$B$3))</f>
        <v/>
      </c>
      <c r="I48" s="24" t="str">
        <f>IF($E48="","",IFERROR(_xludf.XLOOKUP($E48,Product_Summary!$A$5:$A$32,Product_Summary!$F$5:$F$32,$B$3),$B$3))</f>
        <v/>
      </c>
      <c r="J48" s="24" t="str">
        <f>IF($F48="","",IFERROR(_xludf.XLOOKUP($F48,Account_Summary!$A$5:$A$198,Account_Summary!$F$5:$F$198,$B$3),$B$3))</f>
        <v/>
      </c>
      <c r="K48" s="24" t="str">
        <f t="shared" si="1"/>
        <v/>
      </c>
      <c r="L48" s="25" t="str">
        <f>IF(LEN(TRIM($C48&amp;$D48&amp;$E48&amp;$F48))=0,"",SUM(IFERROR(_xludf.XLOOKUP($C48,Category_Summary!$A$5:$A$18,Category_Summary!$G$5:$G$18,$D$3),$D$3)*0.3,IFERROR(_xludf.XLOOKUP($D48,Type_Summary!$A$5:$A$6,Type_Summary!$G$5:$G$6,$D$3),$D$3)*0.1,IFERROR(_xludf.XLOOKUP($E48,Product_Summary!$A$5:$A$32,Product_Summary!$G$5:$G$32,$D$3),$D$3)*0.3,IFERROR(_xludf.XLOOKUP($F48,Account_Summary!$A$5:$A$198,Account_Summary!$G$5:$G$198,$D$3),$D$3)*0.3))</f>
        <v/>
      </c>
      <c r="M48" s="17" t="str">
        <f>IF($K48="","",_xludf.IFS($K48&gt;=0.55,"Very High",$K48&gt;=0.45,"High",$K48&gt;=0.35,"Moderate",TRUE,"Low"))</f>
        <v/>
      </c>
      <c r="N48" s="18" t="str">
        <f>IF($K48="","",_xludf.IFS($K48&gt;=0.55,"Adopt smoothing by default; phase forecast over expected days and test P75/P90 sensitivity.",$K48&gt;=0.45,"Model a smoothing scenario; use expected spread days in forecast.",$K48&gt;=0.35,"Flag for commercial review; apply light smoothing if project-specific evidence supports it.",TRUE,"No default smoothing; assume short/same-day spread unless contract/customer evidence changes."))</f>
        <v/>
      </c>
    </row>
    <row r="49" spans="1:14" ht="10" customHeight="1" x14ac:dyDescent="0.35">
      <c r="A49" s="16"/>
      <c r="B49" s="17"/>
      <c r="C49" s="17"/>
      <c r="D49" s="17"/>
      <c r="E49" s="17"/>
      <c r="F49" s="17"/>
      <c r="G49" s="24" t="str">
        <f>IF($C49="","",IFERROR(_xludf.XLOOKUP($C49,Category_Summary!$A$5:$A$18,Category_Summary!$F$5:$F$18,$B$3),$B$3))</f>
        <v/>
      </c>
      <c r="H49" s="24" t="str">
        <f>IF($D49="","",IFERROR(_xludf.XLOOKUP($D49,Type_Summary!$A$5:$A$6,Type_Summary!$F$5:$F$6,$B$3),$B$3))</f>
        <v/>
      </c>
      <c r="I49" s="24" t="str">
        <f>IF($E49="","",IFERROR(_xludf.XLOOKUP($E49,Product_Summary!$A$5:$A$32,Product_Summary!$F$5:$F$32,$B$3),$B$3))</f>
        <v/>
      </c>
      <c r="J49" s="24" t="str">
        <f>IF($F49="","",IFERROR(_xludf.XLOOKUP($F49,Account_Summary!$A$5:$A$198,Account_Summary!$F$5:$F$198,$B$3),$B$3))</f>
        <v/>
      </c>
      <c r="K49" s="24" t="str">
        <f t="shared" si="1"/>
        <v/>
      </c>
      <c r="L49" s="25" t="str">
        <f>IF(LEN(TRIM($C49&amp;$D49&amp;$E49&amp;$F49))=0,"",SUM(IFERROR(_xludf.XLOOKUP($C49,Category_Summary!$A$5:$A$18,Category_Summary!$G$5:$G$18,$D$3),$D$3)*0.3,IFERROR(_xludf.XLOOKUP($D49,Type_Summary!$A$5:$A$6,Type_Summary!$G$5:$G$6,$D$3),$D$3)*0.1,IFERROR(_xludf.XLOOKUP($E49,Product_Summary!$A$5:$A$32,Product_Summary!$G$5:$G$32,$D$3),$D$3)*0.3,IFERROR(_xludf.XLOOKUP($F49,Account_Summary!$A$5:$A$198,Account_Summary!$G$5:$G$198,$D$3),$D$3)*0.3))</f>
        <v/>
      </c>
      <c r="M49" s="17" t="str">
        <f>IF($K49="","",_xludf.IFS($K49&gt;=0.55,"Very High",$K49&gt;=0.45,"High",$K49&gt;=0.35,"Moderate",TRUE,"Low"))</f>
        <v/>
      </c>
      <c r="N49" s="18" t="str">
        <f>IF($K49="","",_xludf.IFS($K49&gt;=0.55,"Adopt smoothing by default; phase forecast over expected days and test P75/P90 sensitivity.",$K49&gt;=0.45,"Model a smoothing scenario; use expected spread days in forecast.",$K49&gt;=0.35,"Flag for commercial review; apply light smoothing if project-specific evidence supports it.",TRUE,"No default smoothing; assume short/same-day spread unless contract/customer evidence changes."))</f>
        <v/>
      </c>
    </row>
    <row r="50" spans="1:14" ht="10" customHeight="1" x14ac:dyDescent="0.35">
      <c r="A50" s="16"/>
      <c r="B50" s="17"/>
      <c r="C50" s="17"/>
      <c r="D50" s="17"/>
      <c r="E50" s="17"/>
      <c r="F50" s="17"/>
      <c r="G50" s="24" t="str">
        <f>IF($C50="","",IFERROR(_xludf.XLOOKUP($C50,Category_Summary!$A$5:$A$18,Category_Summary!$F$5:$F$18,$B$3),$B$3))</f>
        <v/>
      </c>
      <c r="H50" s="24" t="str">
        <f>IF($D50="","",IFERROR(_xludf.XLOOKUP($D50,Type_Summary!$A$5:$A$6,Type_Summary!$F$5:$F$6,$B$3),$B$3))</f>
        <v/>
      </c>
      <c r="I50" s="24" t="str">
        <f>IF($E50="","",IFERROR(_xludf.XLOOKUP($E50,Product_Summary!$A$5:$A$32,Product_Summary!$F$5:$F$32,$B$3),$B$3))</f>
        <v/>
      </c>
      <c r="J50" s="24" t="str">
        <f>IF($F50="","",IFERROR(_xludf.XLOOKUP($F50,Account_Summary!$A$5:$A$198,Account_Summary!$F$5:$F$198,$B$3),$B$3))</f>
        <v/>
      </c>
      <c r="K50" s="24" t="str">
        <f t="shared" si="1"/>
        <v/>
      </c>
      <c r="L50" s="25" t="str">
        <f>IF(LEN(TRIM($C50&amp;$D50&amp;$E50&amp;$F50))=0,"",SUM(IFERROR(_xludf.XLOOKUP($C50,Category_Summary!$A$5:$A$18,Category_Summary!$G$5:$G$18,$D$3),$D$3)*0.3,IFERROR(_xludf.XLOOKUP($D50,Type_Summary!$A$5:$A$6,Type_Summary!$G$5:$G$6,$D$3),$D$3)*0.1,IFERROR(_xludf.XLOOKUP($E50,Product_Summary!$A$5:$A$32,Product_Summary!$G$5:$G$32,$D$3),$D$3)*0.3,IFERROR(_xludf.XLOOKUP($F50,Account_Summary!$A$5:$A$198,Account_Summary!$G$5:$G$198,$D$3),$D$3)*0.3))</f>
        <v/>
      </c>
      <c r="M50" s="17" t="str">
        <f>IF($K50="","",_xludf.IFS($K50&gt;=0.55,"Very High",$K50&gt;=0.45,"High",$K50&gt;=0.35,"Moderate",TRUE,"Low"))</f>
        <v/>
      </c>
      <c r="N50" s="18" t="str">
        <f>IF($K50="","",_xludf.IFS($K50&gt;=0.55,"Adopt smoothing by default; phase forecast over expected days and test P75/P90 sensitivity.",$K50&gt;=0.45,"Model a smoothing scenario; use expected spread days in forecast.",$K50&gt;=0.35,"Flag for commercial review; apply light smoothing if project-specific evidence supports it.",TRUE,"No default smoothing; assume short/same-day spread unless contract/customer evidence changes."))</f>
        <v/>
      </c>
    </row>
    <row r="51" spans="1:14" ht="10" customHeight="1" x14ac:dyDescent="0.35">
      <c r="A51" s="16"/>
      <c r="B51" s="17"/>
      <c r="C51" s="17"/>
      <c r="D51" s="17"/>
      <c r="E51" s="17"/>
      <c r="F51" s="17"/>
      <c r="G51" s="24" t="str">
        <f>IF($C51="","",IFERROR(_xludf.XLOOKUP($C51,Category_Summary!$A$5:$A$18,Category_Summary!$F$5:$F$18,$B$3),$B$3))</f>
        <v/>
      </c>
      <c r="H51" s="24" t="str">
        <f>IF($D51="","",IFERROR(_xludf.XLOOKUP($D51,Type_Summary!$A$5:$A$6,Type_Summary!$F$5:$F$6,$B$3),$B$3))</f>
        <v/>
      </c>
      <c r="I51" s="24" t="str">
        <f>IF($E51="","",IFERROR(_xludf.XLOOKUP($E51,Product_Summary!$A$5:$A$32,Product_Summary!$F$5:$F$32,$B$3),$B$3))</f>
        <v/>
      </c>
      <c r="J51" s="24" t="str">
        <f>IF($F51="","",IFERROR(_xludf.XLOOKUP($F51,Account_Summary!$A$5:$A$198,Account_Summary!$F$5:$F$198,$B$3),$B$3))</f>
        <v/>
      </c>
      <c r="K51" s="24" t="str">
        <f t="shared" si="1"/>
        <v/>
      </c>
      <c r="L51" s="25" t="str">
        <f>IF(LEN(TRIM($C51&amp;$D51&amp;$E51&amp;$F51))=0,"",SUM(IFERROR(_xludf.XLOOKUP($C51,Category_Summary!$A$5:$A$18,Category_Summary!$G$5:$G$18,$D$3),$D$3)*0.3,IFERROR(_xludf.XLOOKUP($D51,Type_Summary!$A$5:$A$6,Type_Summary!$G$5:$G$6,$D$3),$D$3)*0.1,IFERROR(_xludf.XLOOKUP($E51,Product_Summary!$A$5:$A$32,Product_Summary!$G$5:$G$32,$D$3),$D$3)*0.3,IFERROR(_xludf.XLOOKUP($F51,Account_Summary!$A$5:$A$198,Account_Summary!$G$5:$G$198,$D$3),$D$3)*0.3))</f>
        <v/>
      </c>
      <c r="M51" s="17" t="str">
        <f>IF($K51="","",_xludf.IFS($K51&gt;=0.55,"Very High",$K51&gt;=0.45,"High",$K51&gt;=0.35,"Moderate",TRUE,"Low"))</f>
        <v/>
      </c>
      <c r="N51" s="18" t="str">
        <f>IF($K51="","",_xludf.IFS($K51&gt;=0.55,"Adopt smoothing by default; phase forecast over expected days and test P75/P90 sensitivity.",$K51&gt;=0.45,"Model a smoothing scenario; use expected spread days in forecast.",$K51&gt;=0.35,"Flag for commercial review; apply light smoothing if project-specific evidence supports it.",TRUE,"No default smoothing; assume short/same-day spread unless contract/customer evidence changes."))</f>
        <v/>
      </c>
    </row>
    <row r="52" spans="1:14" ht="10" customHeight="1" x14ac:dyDescent="0.35">
      <c r="A52" s="16"/>
      <c r="B52" s="17"/>
      <c r="C52" s="17"/>
      <c r="D52" s="17"/>
      <c r="E52" s="17"/>
      <c r="F52" s="17"/>
      <c r="G52" s="24" t="str">
        <f>IF($C52="","",IFERROR(_xludf.XLOOKUP($C52,Category_Summary!$A$5:$A$18,Category_Summary!$F$5:$F$18,$B$3),$B$3))</f>
        <v/>
      </c>
      <c r="H52" s="24" t="str">
        <f>IF($D52="","",IFERROR(_xludf.XLOOKUP($D52,Type_Summary!$A$5:$A$6,Type_Summary!$F$5:$F$6,$B$3),$B$3))</f>
        <v/>
      </c>
      <c r="I52" s="24" t="str">
        <f>IF($E52="","",IFERROR(_xludf.XLOOKUP($E52,Product_Summary!$A$5:$A$32,Product_Summary!$F$5:$F$32,$B$3),$B$3))</f>
        <v/>
      </c>
      <c r="J52" s="24" t="str">
        <f>IF($F52="","",IFERROR(_xludf.XLOOKUP($F52,Account_Summary!$A$5:$A$198,Account_Summary!$F$5:$F$198,$B$3),$B$3))</f>
        <v/>
      </c>
      <c r="K52" s="24" t="str">
        <f t="shared" si="1"/>
        <v/>
      </c>
      <c r="L52" s="25" t="str">
        <f>IF(LEN(TRIM($C52&amp;$D52&amp;$E52&amp;$F52))=0,"",SUM(IFERROR(_xludf.XLOOKUP($C52,Category_Summary!$A$5:$A$18,Category_Summary!$G$5:$G$18,$D$3),$D$3)*0.3,IFERROR(_xludf.XLOOKUP($D52,Type_Summary!$A$5:$A$6,Type_Summary!$G$5:$G$6,$D$3),$D$3)*0.1,IFERROR(_xludf.XLOOKUP($E52,Product_Summary!$A$5:$A$32,Product_Summary!$G$5:$G$32,$D$3),$D$3)*0.3,IFERROR(_xludf.XLOOKUP($F52,Account_Summary!$A$5:$A$198,Account_Summary!$G$5:$G$198,$D$3),$D$3)*0.3))</f>
        <v/>
      </c>
      <c r="M52" s="17" t="str">
        <f>IF($K52="","",_xludf.IFS($K52&gt;=0.55,"Very High",$K52&gt;=0.45,"High",$K52&gt;=0.35,"Moderate",TRUE,"Low"))</f>
        <v/>
      </c>
      <c r="N52" s="18" t="str">
        <f>IF($K52="","",_xludf.IFS($K52&gt;=0.55,"Adopt smoothing by default; phase forecast over expected days and test P75/P90 sensitivity.",$K52&gt;=0.45,"Model a smoothing scenario; use expected spread days in forecast.",$K52&gt;=0.35,"Flag for commercial review; apply light smoothing if project-specific evidence supports it.",TRUE,"No default smoothing; assume short/same-day spread unless contract/customer evidence changes."))</f>
        <v/>
      </c>
    </row>
    <row r="53" spans="1:14" ht="10" customHeight="1" x14ac:dyDescent="0.35">
      <c r="A53" s="16"/>
      <c r="B53" s="17"/>
      <c r="C53" s="17"/>
      <c r="D53" s="17"/>
      <c r="E53" s="17"/>
      <c r="F53" s="17"/>
      <c r="G53" s="24" t="str">
        <f>IF($C53="","",IFERROR(_xludf.XLOOKUP($C53,Category_Summary!$A$5:$A$18,Category_Summary!$F$5:$F$18,$B$3),$B$3))</f>
        <v/>
      </c>
      <c r="H53" s="24" t="str">
        <f>IF($D53="","",IFERROR(_xludf.XLOOKUP($D53,Type_Summary!$A$5:$A$6,Type_Summary!$F$5:$F$6,$B$3),$B$3))</f>
        <v/>
      </c>
      <c r="I53" s="24" t="str">
        <f>IF($E53="","",IFERROR(_xludf.XLOOKUP($E53,Product_Summary!$A$5:$A$32,Product_Summary!$F$5:$F$32,$B$3),$B$3))</f>
        <v/>
      </c>
      <c r="J53" s="24" t="str">
        <f>IF($F53="","",IFERROR(_xludf.XLOOKUP($F53,Account_Summary!$A$5:$A$198,Account_Summary!$F$5:$F$198,$B$3),$B$3))</f>
        <v/>
      </c>
      <c r="K53" s="24" t="str">
        <f t="shared" si="1"/>
        <v/>
      </c>
      <c r="L53" s="25" t="str">
        <f>IF(LEN(TRIM($C53&amp;$D53&amp;$E53&amp;$F53))=0,"",SUM(IFERROR(_xludf.XLOOKUP($C53,Category_Summary!$A$5:$A$18,Category_Summary!$G$5:$G$18,$D$3),$D$3)*0.3,IFERROR(_xludf.XLOOKUP($D53,Type_Summary!$A$5:$A$6,Type_Summary!$G$5:$G$6,$D$3),$D$3)*0.1,IFERROR(_xludf.XLOOKUP($E53,Product_Summary!$A$5:$A$32,Product_Summary!$G$5:$G$32,$D$3),$D$3)*0.3,IFERROR(_xludf.XLOOKUP($F53,Account_Summary!$A$5:$A$198,Account_Summary!$G$5:$G$198,$D$3),$D$3)*0.3))</f>
        <v/>
      </c>
      <c r="M53" s="17" t="str">
        <f>IF($K53="","",_xludf.IFS($K53&gt;=0.55,"Very High",$K53&gt;=0.45,"High",$K53&gt;=0.35,"Moderate",TRUE,"Low"))</f>
        <v/>
      </c>
      <c r="N53" s="18" t="str">
        <f>IF($K53="","",_xludf.IFS($K53&gt;=0.55,"Adopt smoothing by default; phase forecast over expected days and test P75/P90 sensitivity.",$K53&gt;=0.45,"Model a smoothing scenario; use expected spread days in forecast.",$K53&gt;=0.35,"Flag for commercial review; apply light smoothing if project-specific evidence supports it.",TRUE,"No default smoothing; assume short/same-day spread unless contract/customer evidence changes."))</f>
        <v/>
      </c>
    </row>
    <row r="54" spans="1:14" ht="10" customHeight="1" x14ac:dyDescent="0.35">
      <c r="A54" s="16"/>
      <c r="B54" s="17"/>
      <c r="C54" s="17"/>
      <c r="D54" s="17"/>
      <c r="E54" s="17"/>
      <c r="F54" s="17"/>
      <c r="G54" s="24" t="str">
        <f>IF($C54="","",IFERROR(_xludf.XLOOKUP($C54,Category_Summary!$A$5:$A$18,Category_Summary!$F$5:$F$18,$B$3),$B$3))</f>
        <v/>
      </c>
      <c r="H54" s="24" t="str">
        <f>IF($D54="","",IFERROR(_xludf.XLOOKUP($D54,Type_Summary!$A$5:$A$6,Type_Summary!$F$5:$F$6,$B$3),$B$3))</f>
        <v/>
      </c>
      <c r="I54" s="24" t="str">
        <f>IF($E54="","",IFERROR(_xludf.XLOOKUP($E54,Product_Summary!$A$5:$A$32,Product_Summary!$F$5:$F$32,$B$3),$B$3))</f>
        <v/>
      </c>
      <c r="J54" s="24" t="str">
        <f>IF($F54="","",IFERROR(_xludf.XLOOKUP($F54,Account_Summary!$A$5:$A$198,Account_Summary!$F$5:$F$198,$B$3),$B$3))</f>
        <v/>
      </c>
      <c r="K54" s="24" t="str">
        <f t="shared" si="1"/>
        <v/>
      </c>
      <c r="L54" s="25" t="str">
        <f>IF(LEN(TRIM($C54&amp;$D54&amp;$E54&amp;$F54))=0,"",SUM(IFERROR(_xludf.XLOOKUP($C54,Category_Summary!$A$5:$A$18,Category_Summary!$G$5:$G$18,$D$3),$D$3)*0.3,IFERROR(_xludf.XLOOKUP($D54,Type_Summary!$A$5:$A$6,Type_Summary!$G$5:$G$6,$D$3),$D$3)*0.1,IFERROR(_xludf.XLOOKUP($E54,Product_Summary!$A$5:$A$32,Product_Summary!$G$5:$G$32,$D$3),$D$3)*0.3,IFERROR(_xludf.XLOOKUP($F54,Account_Summary!$A$5:$A$198,Account_Summary!$G$5:$G$198,$D$3),$D$3)*0.3))</f>
        <v/>
      </c>
      <c r="M54" s="17" t="str">
        <f>IF($K54="","",_xludf.IFS($K54&gt;=0.55,"Very High",$K54&gt;=0.45,"High",$K54&gt;=0.35,"Moderate",TRUE,"Low"))</f>
        <v/>
      </c>
      <c r="N54" s="18" t="str">
        <f>IF($K54="","",_xludf.IFS($K54&gt;=0.55,"Adopt smoothing by default; phase forecast over expected days and test P75/P90 sensitivity.",$K54&gt;=0.45,"Model a smoothing scenario; use expected spread days in forecast.",$K54&gt;=0.35,"Flag for commercial review; apply light smoothing if project-specific evidence supports it.",TRUE,"No default smoothing; assume short/same-day spread unless contract/customer evidence changes."))</f>
        <v/>
      </c>
    </row>
    <row r="55" spans="1:14" ht="10" customHeight="1" x14ac:dyDescent="0.35">
      <c r="A55" s="16"/>
      <c r="B55" s="17"/>
      <c r="C55" s="17"/>
      <c r="D55" s="17"/>
      <c r="E55" s="17"/>
      <c r="F55" s="17"/>
      <c r="G55" s="24" t="str">
        <f>IF($C55="","",IFERROR(_xludf.XLOOKUP($C55,Category_Summary!$A$5:$A$18,Category_Summary!$F$5:$F$18,$B$3),$B$3))</f>
        <v/>
      </c>
      <c r="H55" s="24" t="str">
        <f>IF($D55="","",IFERROR(_xludf.XLOOKUP($D55,Type_Summary!$A$5:$A$6,Type_Summary!$F$5:$F$6,$B$3),$B$3))</f>
        <v/>
      </c>
      <c r="I55" s="24" t="str">
        <f>IF($E55="","",IFERROR(_xludf.XLOOKUP($E55,Product_Summary!$A$5:$A$32,Product_Summary!$F$5:$F$32,$B$3),$B$3))</f>
        <v/>
      </c>
      <c r="J55" s="24" t="str">
        <f>IF($F55="","",IFERROR(_xludf.XLOOKUP($F55,Account_Summary!$A$5:$A$198,Account_Summary!$F$5:$F$198,$B$3),$B$3))</f>
        <v/>
      </c>
      <c r="K55" s="24" t="str">
        <f t="shared" si="1"/>
        <v/>
      </c>
      <c r="L55" s="25" t="str">
        <f>IF(LEN(TRIM($C55&amp;$D55&amp;$E55&amp;$F55))=0,"",SUM(IFERROR(_xludf.XLOOKUP($C55,Category_Summary!$A$5:$A$18,Category_Summary!$G$5:$G$18,$D$3),$D$3)*0.3,IFERROR(_xludf.XLOOKUP($D55,Type_Summary!$A$5:$A$6,Type_Summary!$G$5:$G$6,$D$3),$D$3)*0.1,IFERROR(_xludf.XLOOKUP($E55,Product_Summary!$A$5:$A$32,Product_Summary!$G$5:$G$32,$D$3),$D$3)*0.3,IFERROR(_xludf.XLOOKUP($F55,Account_Summary!$A$5:$A$198,Account_Summary!$G$5:$G$198,$D$3),$D$3)*0.3))</f>
        <v/>
      </c>
      <c r="M55" s="17" t="str">
        <f>IF($K55="","",_xludf.IFS($K55&gt;=0.55,"Very High",$K55&gt;=0.45,"High",$K55&gt;=0.35,"Moderate",TRUE,"Low"))</f>
        <v/>
      </c>
      <c r="N55" s="18" t="str">
        <f>IF($K55="","",_xludf.IFS($K55&gt;=0.55,"Adopt smoothing by default; phase forecast over expected days and test P75/P90 sensitivity.",$K55&gt;=0.45,"Model a smoothing scenario; use expected spread days in forecast.",$K55&gt;=0.35,"Flag for commercial review; apply light smoothing if project-specific evidence supports it.",TRUE,"No default smoothing; assume short/same-day spread unless contract/customer evidence changes."))</f>
        <v/>
      </c>
    </row>
    <row r="56" spans="1:14" ht="10" customHeight="1" x14ac:dyDescent="0.35">
      <c r="A56" s="16"/>
      <c r="B56" s="17"/>
      <c r="C56" s="17"/>
      <c r="D56" s="17"/>
      <c r="E56" s="17"/>
      <c r="F56" s="17"/>
      <c r="G56" s="24" t="str">
        <f>IF($C56="","",IFERROR(_xludf.XLOOKUP($C56,Category_Summary!$A$5:$A$18,Category_Summary!$F$5:$F$18,$B$3),$B$3))</f>
        <v/>
      </c>
      <c r="H56" s="24" t="str">
        <f>IF($D56="","",IFERROR(_xludf.XLOOKUP($D56,Type_Summary!$A$5:$A$6,Type_Summary!$F$5:$F$6,$B$3),$B$3))</f>
        <v/>
      </c>
      <c r="I56" s="24" t="str">
        <f>IF($E56="","",IFERROR(_xludf.XLOOKUP($E56,Product_Summary!$A$5:$A$32,Product_Summary!$F$5:$F$32,$B$3),$B$3))</f>
        <v/>
      </c>
      <c r="J56" s="24" t="str">
        <f>IF($F56="","",IFERROR(_xludf.XLOOKUP($F56,Account_Summary!$A$5:$A$198,Account_Summary!$F$5:$F$198,$B$3),$B$3))</f>
        <v/>
      </c>
      <c r="K56" s="24" t="str">
        <f t="shared" si="1"/>
        <v/>
      </c>
      <c r="L56" s="25" t="str">
        <f>IF(LEN(TRIM($C56&amp;$D56&amp;$E56&amp;$F56))=0,"",SUM(IFERROR(_xludf.XLOOKUP($C56,Category_Summary!$A$5:$A$18,Category_Summary!$G$5:$G$18,$D$3),$D$3)*0.3,IFERROR(_xludf.XLOOKUP($D56,Type_Summary!$A$5:$A$6,Type_Summary!$G$5:$G$6,$D$3),$D$3)*0.1,IFERROR(_xludf.XLOOKUP($E56,Product_Summary!$A$5:$A$32,Product_Summary!$G$5:$G$32,$D$3),$D$3)*0.3,IFERROR(_xludf.XLOOKUP($F56,Account_Summary!$A$5:$A$198,Account_Summary!$G$5:$G$198,$D$3),$D$3)*0.3))</f>
        <v/>
      </c>
      <c r="M56" s="17" t="str">
        <f>IF($K56="","",_xludf.IFS($K56&gt;=0.55,"Very High",$K56&gt;=0.45,"High",$K56&gt;=0.35,"Moderate",TRUE,"Low"))</f>
        <v/>
      </c>
      <c r="N56" s="18" t="str">
        <f>IF($K56="","",_xludf.IFS($K56&gt;=0.55,"Adopt smoothing by default; phase forecast over expected days and test P75/P90 sensitivity.",$K56&gt;=0.45,"Model a smoothing scenario; use expected spread days in forecast.",$K56&gt;=0.35,"Flag for commercial review; apply light smoothing if project-specific evidence supports it.",TRUE,"No default smoothing; assume short/same-day spread unless contract/customer evidence changes."))</f>
        <v/>
      </c>
    </row>
    <row r="57" spans="1:14" ht="10" customHeight="1" x14ac:dyDescent="0.35">
      <c r="A57" s="16"/>
      <c r="B57" s="17"/>
      <c r="C57" s="17"/>
      <c r="D57" s="17"/>
      <c r="E57" s="17"/>
      <c r="F57" s="17"/>
      <c r="G57" s="24" t="str">
        <f>IF($C57="","",IFERROR(_xludf.XLOOKUP($C57,Category_Summary!$A$5:$A$18,Category_Summary!$F$5:$F$18,$B$3),$B$3))</f>
        <v/>
      </c>
      <c r="H57" s="24" t="str">
        <f>IF($D57="","",IFERROR(_xludf.XLOOKUP($D57,Type_Summary!$A$5:$A$6,Type_Summary!$F$5:$F$6,$B$3),$B$3))</f>
        <v/>
      </c>
      <c r="I57" s="24" t="str">
        <f>IF($E57="","",IFERROR(_xludf.XLOOKUP($E57,Product_Summary!$A$5:$A$32,Product_Summary!$F$5:$F$32,$B$3),$B$3))</f>
        <v/>
      </c>
      <c r="J57" s="24" t="str">
        <f>IF($F57="","",IFERROR(_xludf.XLOOKUP($F57,Account_Summary!$A$5:$A$198,Account_Summary!$F$5:$F$198,$B$3),$B$3))</f>
        <v/>
      </c>
      <c r="K57" s="24" t="str">
        <f t="shared" si="1"/>
        <v/>
      </c>
      <c r="L57" s="25" t="str">
        <f>IF(LEN(TRIM($C57&amp;$D57&amp;$E57&amp;$F57))=0,"",SUM(IFERROR(_xludf.XLOOKUP($C57,Category_Summary!$A$5:$A$18,Category_Summary!$G$5:$G$18,$D$3),$D$3)*0.3,IFERROR(_xludf.XLOOKUP($D57,Type_Summary!$A$5:$A$6,Type_Summary!$G$5:$G$6,$D$3),$D$3)*0.1,IFERROR(_xludf.XLOOKUP($E57,Product_Summary!$A$5:$A$32,Product_Summary!$G$5:$G$32,$D$3),$D$3)*0.3,IFERROR(_xludf.XLOOKUP($F57,Account_Summary!$A$5:$A$198,Account_Summary!$G$5:$G$198,$D$3),$D$3)*0.3))</f>
        <v/>
      </c>
      <c r="M57" s="17" t="str">
        <f>IF($K57="","",_xludf.IFS($K57&gt;=0.55,"Very High",$K57&gt;=0.45,"High",$K57&gt;=0.35,"Moderate",TRUE,"Low"))</f>
        <v/>
      </c>
      <c r="N57" s="18" t="str">
        <f>IF($K57="","",_xludf.IFS($K57&gt;=0.55,"Adopt smoothing by default; phase forecast over expected days and test P75/P90 sensitivity.",$K57&gt;=0.45,"Model a smoothing scenario; use expected spread days in forecast.",$K57&gt;=0.35,"Flag for commercial review; apply light smoothing if project-specific evidence supports it.",TRUE,"No default smoothing; assume short/same-day spread unless contract/customer evidence changes."))</f>
        <v/>
      </c>
    </row>
    <row r="58" spans="1:14" ht="10" customHeight="1" x14ac:dyDescent="0.35">
      <c r="A58" s="16"/>
      <c r="B58" s="17"/>
      <c r="C58" s="17"/>
      <c r="D58" s="17"/>
      <c r="E58" s="17"/>
      <c r="F58" s="17"/>
      <c r="G58" s="24" t="str">
        <f>IF($C58="","",IFERROR(_xludf.XLOOKUP($C58,Category_Summary!$A$5:$A$18,Category_Summary!$F$5:$F$18,$B$3),$B$3))</f>
        <v/>
      </c>
      <c r="H58" s="24" t="str">
        <f>IF($D58="","",IFERROR(_xludf.XLOOKUP($D58,Type_Summary!$A$5:$A$6,Type_Summary!$F$5:$F$6,$B$3),$B$3))</f>
        <v/>
      </c>
      <c r="I58" s="24" t="str">
        <f>IF($E58="","",IFERROR(_xludf.XLOOKUP($E58,Product_Summary!$A$5:$A$32,Product_Summary!$F$5:$F$32,$B$3),$B$3))</f>
        <v/>
      </c>
      <c r="J58" s="24" t="str">
        <f>IF($F58="","",IFERROR(_xludf.XLOOKUP($F58,Account_Summary!$A$5:$A$198,Account_Summary!$F$5:$F$198,$B$3),$B$3))</f>
        <v/>
      </c>
      <c r="K58" s="24" t="str">
        <f t="shared" si="1"/>
        <v/>
      </c>
      <c r="L58" s="25" t="str">
        <f>IF(LEN(TRIM($C58&amp;$D58&amp;$E58&amp;$F58))=0,"",SUM(IFERROR(_xludf.XLOOKUP($C58,Category_Summary!$A$5:$A$18,Category_Summary!$G$5:$G$18,$D$3),$D$3)*0.3,IFERROR(_xludf.XLOOKUP($D58,Type_Summary!$A$5:$A$6,Type_Summary!$G$5:$G$6,$D$3),$D$3)*0.1,IFERROR(_xludf.XLOOKUP($E58,Product_Summary!$A$5:$A$32,Product_Summary!$G$5:$G$32,$D$3),$D$3)*0.3,IFERROR(_xludf.XLOOKUP($F58,Account_Summary!$A$5:$A$198,Account_Summary!$G$5:$G$198,$D$3),$D$3)*0.3))</f>
        <v/>
      </c>
      <c r="M58" s="17" t="str">
        <f>IF($K58="","",_xludf.IFS($K58&gt;=0.55,"Very High",$K58&gt;=0.45,"High",$K58&gt;=0.35,"Moderate",TRUE,"Low"))</f>
        <v/>
      </c>
      <c r="N58" s="18" t="str">
        <f>IF($K58="","",_xludf.IFS($K58&gt;=0.55,"Adopt smoothing by default; phase forecast over expected days and test P75/P90 sensitivity.",$K58&gt;=0.45,"Model a smoothing scenario; use expected spread days in forecast.",$K58&gt;=0.35,"Flag for commercial review; apply light smoothing if project-specific evidence supports it.",TRUE,"No default smoothing; assume short/same-day spread unless contract/customer evidence changes."))</f>
        <v/>
      </c>
    </row>
    <row r="59" spans="1:14" ht="10" customHeight="1" x14ac:dyDescent="0.35">
      <c r="A59" s="16"/>
      <c r="B59" s="17"/>
      <c r="C59" s="17"/>
      <c r="D59" s="17"/>
      <c r="E59" s="17"/>
      <c r="F59" s="17"/>
      <c r="G59" s="24" t="str">
        <f>IF($C59="","",IFERROR(_xludf.XLOOKUP($C59,Category_Summary!$A$5:$A$18,Category_Summary!$F$5:$F$18,$B$3),$B$3))</f>
        <v/>
      </c>
      <c r="H59" s="24" t="str">
        <f>IF($D59="","",IFERROR(_xludf.XLOOKUP($D59,Type_Summary!$A$5:$A$6,Type_Summary!$F$5:$F$6,$B$3),$B$3))</f>
        <v/>
      </c>
      <c r="I59" s="24" t="str">
        <f>IF($E59="","",IFERROR(_xludf.XLOOKUP($E59,Product_Summary!$A$5:$A$32,Product_Summary!$F$5:$F$32,$B$3),$B$3))</f>
        <v/>
      </c>
      <c r="J59" s="24" t="str">
        <f>IF($F59="","",IFERROR(_xludf.XLOOKUP($F59,Account_Summary!$A$5:$A$198,Account_Summary!$F$5:$F$198,$B$3),$B$3))</f>
        <v/>
      </c>
      <c r="K59" s="24" t="str">
        <f t="shared" si="1"/>
        <v/>
      </c>
      <c r="L59" s="25" t="str">
        <f>IF(LEN(TRIM($C59&amp;$D59&amp;$E59&amp;$F59))=0,"",SUM(IFERROR(_xludf.XLOOKUP($C59,Category_Summary!$A$5:$A$18,Category_Summary!$G$5:$G$18,$D$3),$D$3)*0.3,IFERROR(_xludf.XLOOKUP($D59,Type_Summary!$A$5:$A$6,Type_Summary!$G$5:$G$6,$D$3),$D$3)*0.1,IFERROR(_xludf.XLOOKUP($E59,Product_Summary!$A$5:$A$32,Product_Summary!$G$5:$G$32,$D$3),$D$3)*0.3,IFERROR(_xludf.XLOOKUP($F59,Account_Summary!$A$5:$A$198,Account_Summary!$G$5:$G$198,$D$3),$D$3)*0.3))</f>
        <v/>
      </c>
      <c r="M59" s="17" t="str">
        <f>IF($K59="","",_xludf.IFS($K59&gt;=0.55,"Very High",$K59&gt;=0.45,"High",$K59&gt;=0.35,"Moderate",TRUE,"Low"))</f>
        <v/>
      </c>
      <c r="N59" s="18" t="str">
        <f>IF($K59="","",_xludf.IFS($K59&gt;=0.55,"Adopt smoothing by default; phase forecast over expected days and test P75/P90 sensitivity.",$K59&gt;=0.45,"Model a smoothing scenario; use expected spread days in forecast.",$K59&gt;=0.35,"Flag for commercial review; apply light smoothing if project-specific evidence supports it.",TRUE,"No default smoothing; assume short/same-day spread unless contract/customer evidence changes."))</f>
        <v/>
      </c>
    </row>
    <row r="60" spans="1:14" ht="10" customHeight="1" x14ac:dyDescent="0.35">
      <c r="A60" s="16"/>
      <c r="B60" s="17"/>
      <c r="C60" s="17"/>
      <c r="D60" s="17"/>
      <c r="E60" s="17"/>
      <c r="F60" s="17"/>
      <c r="G60" s="24" t="str">
        <f>IF($C60="","",IFERROR(_xludf.XLOOKUP($C60,Category_Summary!$A$5:$A$18,Category_Summary!$F$5:$F$18,$B$3),$B$3))</f>
        <v/>
      </c>
      <c r="H60" s="24" t="str">
        <f>IF($D60="","",IFERROR(_xludf.XLOOKUP($D60,Type_Summary!$A$5:$A$6,Type_Summary!$F$5:$F$6,$B$3),$B$3))</f>
        <v/>
      </c>
      <c r="I60" s="24" t="str">
        <f>IF($E60="","",IFERROR(_xludf.XLOOKUP($E60,Product_Summary!$A$5:$A$32,Product_Summary!$F$5:$F$32,$B$3),$B$3))</f>
        <v/>
      </c>
      <c r="J60" s="24" t="str">
        <f>IF($F60="","",IFERROR(_xludf.XLOOKUP($F60,Account_Summary!$A$5:$A$198,Account_Summary!$F$5:$F$198,$B$3),$B$3))</f>
        <v/>
      </c>
      <c r="K60" s="24" t="str">
        <f t="shared" si="1"/>
        <v/>
      </c>
      <c r="L60" s="25" t="str">
        <f>IF(LEN(TRIM($C60&amp;$D60&amp;$E60&amp;$F60))=0,"",SUM(IFERROR(_xludf.XLOOKUP($C60,Category_Summary!$A$5:$A$18,Category_Summary!$G$5:$G$18,$D$3),$D$3)*0.3,IFERROR(_xludf.XLOOKUP($D60,Type_Summary!$A$5:$A$6,Type_Summary!$G$5:$G$6,$D$3),$D$3)*0.1,IFERROR(_xludf.XLOOKUP($E60,Product_Summary!$A$5:$A$32,Product_Summary!$G$5:$G$32,$D$3),$D$3)*0.3,IFERROR(_xludf.XLOOKUP($F60,Account_Summary!$A$5:$A$198,Account_Summary!$G$5:$G$198,$D$3),$D$3)*0.3))</f>
        <v/>
      </c>
      <c r="M60" s="17" t="str">
        <f>IF($K60="","",_xludf.IFS($K60&gt;=0.55,"Very High",$K60&gt;=0.45,"High",$K60&gt;=0.35,"Moderate",TRUE,"Low"))</f>
        <v/>
      </c>
      <c r="N60" s="18" t="str">
        <f>IF($K60="","",_xludf.IFS($K60&gt;=0.55,"Adopt smoothing by default; phase forecast over expected days and test P75/P90 sensitivity.",$K60&gt;=0.45,"Model a smoothing scenario; use expected spread days in forecast.",$K60&gt;=0.35,"Flag for commercial review; apply light smoothing if project-specific evidence supports it.",TRUE,"No default smoothing; assume short/same-day spread unless contract/customer evidence changes."))</f>
        <v/>
      </c>
    </row>
    <row r="61" spans="1:14" ht="10" customHeight="1" x14ac:dyDescent="0.35">
      <c r="A61" s="16"/>
      <c r="B61" s="17"/>
      <c r="C61" s="17"/>
      <c r="D61" s="17"/>
      <c r="E61" s="17"/>
      <c r="F61" s="17"/>
      <c r="G61" s="24" t="str">
        <f>IF($C61="","",IFERROR(_xludf.XLOOKUP($C61,Category_Summary!$A$5:$A$18,Category_Summary!$F$5:$F$18,$B$3),$B$3))</f>
        <v/>
      </c>
      <c r="H61" s="24" t="str">
        <f>IF($D61="","",IFERROR(_xludf.XLOOKUP($D61,Type_Summary!$A$5:$A$6,Type_Summary!$F$5:$F$6,$B$3),$B$3))</f>
        <v/>
      </c>
      <c r="I61" s="24" t="str">
        <f>IF($E61="","",IFERROR(_xludf.XLOOKUP($E61,Product_Summary!$A$5:$A$32,Product_Summary!$F$5:$F$32,$B$3),$B$3))</f>
        <v/>
      </c>
      <c r="J61" s="24" t="str">
        <f>IF($F61="","",IFERROR(_xludf.XLOOKUP($F61,Account_Summary!$A$5:$A$198,Account_Summary!$F$5:$F$198,$B$3),$B$3))</f>
        <v/>
      </c>
      <c r="K61" s="24" t="str">
        <f t="shared" si="1"/>
        <v/>
      </c>
      <c r="L61" s="25" t="str">
        <f>IF(LEN(TRIM($C61&amp;$D61&amp;$E61&amp;$F61))=0,"",SUM(IFERROR(_xludf.XLOOKUP($C61,Category_Summary!$A$5:$A$18,Category_Summary!$G$5:$G$18,$D$3),$D$3)*0.3,IFERROR(_xludf.XLOOKUP($D61,Type_Summary!$A$5:$A$6,Type_Summary!$G$5:$G$6,$D$3),$D$3)*0.1,IFERROR(_xludf.XLOOKUP($E61,Product_Summary!$A$5:$A$32,Product_Summary!$G$5:$G$32,$D$3),$D$3)*0.3,IFERROR(_xludf.XLOOKUP($F61,Account_Summary!$A$5:$A$198,Account_Summary!$G$5:$G$198,$D$3),$D$3)*0.3))</f>
        <v/>
      </c>
      <c r="M61" s="17" t="str">
        <f>IF($K61="","",_xludf.IFS($K61&gt;=0.55,"Very High",$K61&gt;=0.45,"High",$K61&gt;=0.35,"Moderate",TRUE,"Low"))</f>
        <v/>
      </c>
      <c r="N61" s="18" t="str">
        <f>IF($K61="","",_xludf.IFS($K61&gt;=0.55,"Adopt smoothing by default; phase forecast over expected days and test P75/P90 sensitivity.",$K61&gt;=0.45,"Model a smoothing scenario; use expected spread days in forecast.",$K61&gt;=0.35,"Flag for commercial review; apply light smoothing if project-specific evidence supports it.",TRUE,"No default smoothing; assume short/same-day spread unless contract/customer evidence changes."))</f>
        <v/>
      </c>
    </row>
    <row r="62" spans="1:14" ht="10" customHeight="1" x14ac:dyDescent="0.35">
      <c r="A62" s="16"/>
      <c r="B62" s="17"/>
      <c r="C62" s="17"/>
      <c r="D62" s="17"/>
      <c r="E62" s="17"/>
      <c r="F62" s="17"/>
      <c r="G62" s="24" t="str">
        <f>IF($C62="","",IFERROR(_xludf.XLOOKUP($C62,Category_Summary!$A$5:$A$18,Category_Summary!$F$5:$F$18,$B$3),$B$3))</f>
        <v/>
      </c>
      <c r="H62" s="24" t="str">
        <f>IF($D62="","",IFERROR(_xludf.XLOOKUP($D62,Type_Summary!$A$5:$A$6,Type_Summary!$F$5:$F$6,$B$3),$B$3))</f>
        <v/>
      </c>
      <c r="I62" s="24" t="str">
        <f>IF($E62="","",IFERROR(_xludf.XLOOKUP($E62,Product_Summary!$A$5:$A$32,Product_Summary!$F$5:$F$32,$B$3),$B$3))</f>
        <v/>
      </c>
      <c r="J62" s="24" t="str">
        <f>IF($F62="","",IFERROR(_xludf.XLOOKUP($F62,Account_Summary!$A$5:$A$198,Account_Summary!$F$5:$F$198,$B$3),$B$3))</f>
        <v/>
      </c>
      <c r="K62" s="24" t="str">
        <f t="shared" si="1"/>
        <v/>
      </c>
      <c r="L62" s="25" t="str">
        <f>IF(LEN(TRIM($C62&amp;$D62&amp;$E62&amp;$F62))=0,"",SUM(IFERROR(_xludf.XLOOKUP($C62,Category_Summary!$A$5:$A$18,Category_Summary!$G$5:$G$18,$D$3),$D$3)*0.3,IFERROR(_xludf.XLOOKUP($D62,Type_Summary!$A$5:$A$6,Type_Summary!$G$5:$G$6,$D$3),$D$3)*0.1,IFERROR(_xludf.XLOOKUP($E62,Product_Summary!$A$5:$A$32,Product_Summary!$G$5:$G$32,$D$3),$D$3)*0.3,IFERROR(_xludf.XLOOKUP($F62,Account_Summary!$A$5:$A$198,Account_Summary!$G$5:$G$198,$D$3),$D$3)*0.3))</f>
        <v/>
      </c>
      <c r="M62" s="17" t="str">
        <f>IF($K62="","",_xludf.IFS($K62&gt;=0.55,"Very High",$K62&gt;=0.45,"High",$K62&gt;=0.35,"Moderate",TRUE,"Low"))</f>
        <v/>
      </c>
      <c r="N62" s="18" t="str">
        <f>IF($K62="","",_xludf.IFS($K62&gt;=0.55,"Adopt smoothing by default; phase forecast over expected days and test P75/P90 sensitivity.",$K62&gt;=0.45,"Model a smoothing scenario; use expected spread days in forecast.",$K62&gt;=0.35,"Flag for commercial review; apply light smoothing if project-specific evidence supports it.",TRUE,"No default smoothing; assume short/same-day spread unless contract/customer evidence changes."))</f>
        <v/>
      </c>
    </row>
    <row r="63" spans="1:14" ht="10" customHeight="1" x14ac:dyDescent="0.35">
      <c r="A63" s="16"/>
      <c r="B63" s="17"/>
      <c r="C63" s="17"/>
      <c r="D63" s="17"/>
      <c r="E63" s="17"/>
      <c r="F63" s="17"/>
      <c r="G63" s="24" t="str">
        <f>IF($C63="","",IFERROR(_xludf.XLOOKUP($C63,Category_Summary!$A$5:$A$18,Category_Summary!$F$5:$F$18,$B$3),$B$3))</f>
        <v/>
      </c>
      <c r="H63" s="24" t="str">
        <f>IF($D63="","",IFERROR(_xludf.XLOOKUP($D63,Type_Summary!$A$5:$A$6,Type_Summary!$F$5:$F$6,$B$3),$B$3))</f>
        <v/>
      </c>
      <c r="I63" s="24" t="str">
        <f>IF($E63="","",IFERROR(_xludf.XLOOKUP($E63,Product_Summary!$A$5:$A$32,Product_Summary!$F$5:$F$32,$B$3),$B$3))</f>
        <v/>
      </c>
      <c r="J63" s="24" t="str">
        <f>IF($F63="","",IFERROR(_xludf.XLOOKUP($F63,Account_Summary!$A$5:$A$198,Account_Summary!$F$5:$F$198,$B$3),$B$3))</f>
        <v/>
      </c>
      <c r="K63" s="24" t="str">
        <f t="shared" si="1"/>
        <v/>
      </c>
      <c r="L63" s="25" t="str">
        <f>IF(LEN(TRIM($C63&amp;$D63&amp;$E63&amp;$F63))=0,"",SUM(IFERROR(_xludf.XLOOKUP($C63,Category_Summary!$A$5:$A$18,Category_Summary!$G$5:$G$18,$D$3),$D$3)*0.3,IFERROR(_xludf.XLOOKUP($D63,Type_Summary!$A$5:$A$6,Type_Summary!$G$5:$G$6,$D$3),$D$3)*0.1,IFERROR(_xludf.XLOOKUP($E63,Product_Summary!$A$5:$A$32,Product_Summary!$G$5:$G$32,$D$3),$D$3)*0.3,IFERROR(_xludf.XLOOKUP($F63,Account_Summary!$A$5:$A$198,Account_Summary!$G$5:$G$198,$D$3),$D$3)*0.3))</f>
        <v/>
      </c>
      <c r="M63" s="17" t="str">
        <f>IF($K63="","",_xludf.IFS($K63&gt;=0.55,"Very High",$K63&gt;=0.45,"High",$K63&gt;=0.35,"Moderate",TRUE,"Low"))</f>
        <v/>
      </c>
      <c r="N63" s="18" t="str">
        <f>IF($K63="","",_xludf.IFS($K63&gt;=0.55,"Adopt smoothing by default; phase forecast over expected days and test P75/P90 sensitivity.",$K63&gt;=0.45,"Model a smoothing scenario; use expected spread days in forecast.",$K63&gt;=0.35,"Flag for commercial review; apply light smoothing if project-specific evidence supports it.",TRUE,"No default smoothing; assume short/same-day spread unless contract/customer evidence changes."))</f>
        <v/>
      </c>
    </row>
    <row r="64" spans="1:14" ht="10" customHeight="1" x14ac:dyDescent="0.35">
      <c r="A64" s="16"/>
      <c r="B64" s="17"/>
      <c r="C64" s="17"/>
      <c r="D64" s="17"/>
      <c r="E64" s="17"/>
      <c r="F64" s="17"/>
      <c r="G64" s="24" t="str">
        <f>IF($C64="","",IFERROR(_xludf.XLOOKUP($C64,Category_Summary!$A$5:$A$18,Category_Summary!$F$5:$F$18,$B$3),$B$3))</f>
        <v/>
      </c>
      <c r="H64" s="24" t="str">
        <f>IF($D64="","",IFERROR(_xludf.XLOOKUP($D64,Type_Summary!$A$5:$A$6,Type_Summary!$F$5:$F$6,$B$3),$B$3))</f>
        <v/>
      </c>
      <c r="I64" s="24" t="str">
        <f>IF($E64="","",IFERROR(_xludf.XLOOKUP($E64,Product_Summary!$A$5:$A$32,Product_Summary!$F$5:$F$32,$B$3),$B$3))</f>
        <v/>
      </c>
      <c r="J64" s="24" t="str">
        <f>IF($F64="","",IFERROR(_xludf.XLOOKUP($F64,Account_Summary!$A$5:$A$198,Account_Summary!$F$5:$F$198,$B$3),$B$3))</f>
        <v/>
      </c>
      <c r="K64" s="24" t="str">
        <f t="shared" si="1"/>
        <v/>
      </c>
      <c r="L64" s="25" t="str">
        <f>IF(LEN(TRIM($C64&amp;$D64&amp;$E64&amp;$F64))=0,"",SUM(IFERROR(_xludf.XLOOKUP($C64,Category_Summary!$A$5:$A$18,Category_Summary!$G$5:$G$18,$D$3),$D$3)*0.3,IFERROR(_xludf.XLOOKUP($D64,Type_Summary!$A$5:$A$6,Type_Summary!$G$5:$G$6,$D$3),$D$3)*0.1,IFERROR(_xludf.XLOOKUP($E64,Product_Summary!$A$5:$A$32,Product_Summary!$G$5:$G$32,$D$3),$D$3)*0.3,IFERROR(_xludf.XLOOKUP($F64,Account_Summary!$A$5:$A$198,Account_Summary!$G$5:$G$198,$D$3),$D$3)*0.3))</f>
        <v/>
      </c>
      <c r="M64" s="17" t="str">
        <f>IF($K64="","",_xludf.IFS($K64&gt;=0.55,"Very High",$K64&gt;=0.45,"High",$K64&gt;=0.35,"Moderate",TRUE,"Low"))</f>
        <v/>
      </c>
      <c r="N64" s="18" t="str">
        <f>IF($K64="","",_xludf.IFS($K64&gt;=0.55,"Adopt smoothing by default; phase forecast over expected days and test P75/P90 sensitivity.",$K64&gt;=0.45,"Model a smoothing scenario; use expected spread days in forecast.",$K64&gt;=0.35,"Flag for commercial review; apply light smoothing if project-specific evidence supports it.",TRUE,"No default smoothing; assume short/same-day spread unless contract/customer evidence changes."))</f>
        <v/>
      </c>
    </row>
    <row r="65" spans="1:14" ht="10" customHeight="1" x14ac:dyDescent="0.35">
      <c r="A65" s="16"/>
      <c r="B65" s="17"/>
      <c r="C65" s="17"/>
      <c r="D65" s="17"/>
      <c r="E65" s="17"/>
      <c r="F65" s="17"/>
      <c r="G65" s="24" t="str">
        <f>IF($C65="","",IFERROR(_xludf.XLOOKUP($C65,Category_Summary!$A$5:$A$18,Category_Summary!$F$5:$F$18,$B$3),$B$3))</f>
        <v/>
      </c>
      <c r="H65" s="24" t="str">
        <f>IF($D65="","",IFERROR(_xludf.XLOOKUP($D65,Type_Summary!$A$5:$A$6,Type_Summary!$F$5:$F$6,$B$3),$B$3))</f>
        <v/>
      </c>
      <c r="I65" s="24" t="str">
        <f>IF($E65="","",IFERROR(_xludf.XLOOKUP($E65,Product_Summary!$A$5:$A$32,Product_Summary!$F$5:$F$32,$B$3),$B$3))</f>
        <v/>
      </c>
      <c r="J65" s="24" t="str">
        <f>IF($F65="","",IFERROR(_xludf.XLOOKUP($F65,Account_Summary!$A$5:$A$198,Account_Summary!$F$5:$F$198,$B$3),$B$3))</f>
        <v/>
      </c>
      <c r="K65" s="24" t="str">
        <f t="shared" si="1"/>
        <v/>
      </c>
      <c r="L65" s="25" t="str">
        <f>IF(LEN(TRIM($C65&amp;$D65&amp;$E65&amp;$F65))=0,"",SUM(IFERROR(_xludf.XLOOKUP($C65,Category_Summary!$A$5:$A$18,Category_Summary!$G$5:$G$18,$D$3),$D$3)*0.3,IFERROR(_xludf.XLOOKUP($D65,Type_Summary!$A$5:$A$6,Type_Summary!$G$5:$G$6,$D$3),$D$3)*0.1,IFERROR(_xludf.XLOOKUP($E65,Product_Summary!$A$5:$A$32,Product_Summary!$G$5:$G$32,$D$3),$D$3)*0.3,IFERROR(_xludf.XLOOKUP($F65,Account_Summary!$A$5:$A$198,Account_Summary!$G$5:$G$198,$D$3),$D$3)*0.3))</f>
        <v/>
      </c>
      <c r="M65" s="17" t="str">
        <f>IF($K65="","",_xludf.IFS($K65&gt;=0.55,"Very High",$K65&gt;=0.45,"High",$K65&gt;=0.35,"Moderate",TRUE,"Low"))</f>
        <v/>
      </c>
      <c r="N65" s="18" t="str">
        <f>IF($K65="","",_xludf.IFS($K65&gt;=0.55,"Adopt smoothing by default; phase forecast over expected days and test P75/P90 sensitivity.",$K65&gt;=0.45,"Model a smoothing scenario; use expected spread days in forecast.",$K65&gt;=0.35,"Flag for commercial review; apply light smoothing if project-specific evidence supports it.",TRUE,"No default smoothing; assume short/same-day spread unless contract/customer evidence changes."))</f>
        <v/>
      </c>
    </row>
    <row r="66" spans="1:14" ht="10" customHeight="1" x14ac:dyDescent="0.35">
      <c r="A66" s="16"/>
      <c r="B66" s="17"/>
      <c r="C66" s="17"/>
      <c r="D66" s="17"/>
      <c r="E66" s="17"/>
      <c r="F66" s="17"/>
      <c r="G66" s="24" t="str">
        <f>IF($C66="","",IFERROR(_xludf.XLOOKUP($C66,Category_Summary!$A$5:$A$18,Category_Summary!$F$5:$F$18,$B$3),$B$3))</f>
        <v/>
      </c>
      <c r="H66" s="24" t="str">
        <f>IF($D66="","",IFERROR(_xludf.XLOOKUP($D66,Type_Summary!$A$5:$A$6,Type_Summary!$F$5:$F$6,$B$3),$B$3))</f>
        <v/>
      </c>
      <c r="I66" s="24" t="str">
        <f>IF($E66="","",IFERROR(_xludf.XLOOKUP($E66,Product_Summary!$A$5:$A$32,Product_Summary!$F$5:$F$32,$B$3),$B$3))</f>
        <v/>
      </c>
      <c r="J66" s="24" t="str">
        <f>IF($F66="","",IFERROR(_xludf.XLOOKUP($F66,Account_Summary!$A$5:$A$198,Account_Summary!$F$5:$F$198,$B$3),$B$3))</f>
        <v/>
      </c>
      <c r="K66" s="24" t="str">
        <f t="shared" si="1"/>
        <v/>
      </c>
      <c r="L66" s="25" t="str">
        <f>IF(LEN(TRIM($C66&amp;$D66&amp;$E66&amp;$F66))=0,"",SUM(IFERROR(_xludf.XLOOKUP($C66,Category_Summary!$A$5:$A$18,Category_Summary!$G$5:$G$18,$D$3),$D$3)*0.3,IFERROR(_xludf.XLOOKUP($D66,Type_Summary!$A$5:$A$6,Type_Summary!$G$5:$G$6,$D$3),$D$3)*0.1,IFERROR(_xludf.XLOOKUP($E66,Product_Summary!$A$5:$A$32,Product_Summary!$G$5:$G$32,$D$3),$D$3)*0.3,IFERROR(_xludf.XLOOKUP($F66,Account_Summary!$A$5:$A$198,Account_Summary!$G$5:$G$198,$D$3),$D$3)*0.3))</f>
        <v/>
      </c>
      <c r="M66" s="17" t="str">
        <f>IF($K66="","",_xludf.IFS($K66&gt;=0.55,"Very High",$K66&gt;=0.45,"High",$K66&gt;=0.35,"Moderate",TRUE,"Low"))</f>
        <v/>
      </c>
      <c r="N66" s="18" t="str">
        <f>IF($K66="","",_xludf.IFS($K66&gt;=0.55,"Adopt smoothing by default; phase forecast over expected days and test P75/P90 sensitivity.",$K66&gt;=0.45,"Model a smoothing scenario; use expected spread days in forecast.",$K66&gt;=0.35,"Flag for commercial review; apply light smoothing if project-specific evidence supports it.",TRUE,"No default smoothing; assume short/same-day spread unless contract/customer evidence changes."))</f>
        <v/>
      </c>
    </row>
    <row r="67" spans="1:14" ht="10" customHeight="1" x14ac:dyDescent="0.35">
      <c r="A67" s="16"/>
      <c r="B67" s="17"/>
      <c r="C67" s="17"/>
      <c r="D67" s="17"/>
      <c r="E67" s="17"/>
      <c r="F67" s="17"/>
      <c r="G67" s="24" t="str">
        <f>IF($C67="","",IFERROR(_xludf.XLOOKUP($C67,Category_Summary!$A$5:$A$18,Category_Summary!$F$5:$F$18,$B$3),$B$3))</f>
        <v/>
      </c>
      <c r="H67" s="24" t="str">
        <f>IF($D67="","",IFERROR(_xludf.XLOOKUP($D67,Type_Summary!$A$5:$A$6,Type_Summary!$F$5:$F$6,$B$3),$B$3))</f>
        <v/>
      </c>
      <c r="I67" s="24" t="str">
        <f>IF($E67="","",IFERROR(_xludf.XLOOKUP($E67,Product_Summary!$A$5:$A$32,Product_Summary!$F$5:$F$32,$B$3),$B$3))</f>
        <v/>
      </c>
      <c r="J67" s="24" t="str">
        <f>IF($F67="","",IFERROR(_xludf.XLOOKUP($F67,Account_Summary!$A$5:$A$198,Account_Summary!$F$5:$F$198,$B$3),$B$3))</f>
        <v/>
      </c>
      <c r="K67" s="24" t="str">
        <f t="shared" si="1"/>
        <v/>
      </c>
      <c r="L67" s="25" t="str">
        <f>IF(LEN(TRIM($C67&amp;$D67&amp;$E67&amp;$F67))=0,"",SUM(IFERROR(_xludf.XLOOKUP($C67,Category_Summary!$A$5:$A$18,Category_Summary!$G$5:$G$18,$D$3),$D$3)*0.3,IFERROR(_xludf.XLOOKUP($D67,Type_Summary!$A$5:$A$6,Type_Summary!$G$5:$G$6,$D$3),$D$3)*0.1,IFERROR(_xludf.XLOOKUP($E67,Product_Summary!$A$5:$A$32,Product_Summary!$G$5:$G$32,$D$3),$D$3)*0.3,IFERROR(_xludf.XLOOKUP($F67,Account_Summary!$A$5:$A$198,Account_Summary!$G$5:$G$198,$D$3),$D$3)*0.3))</f>
        <v/>
      </c>
      <c r="M67" s="17" t="str">
        <f>IF($K67="","",_xludf.IFS($K67&gt;=0.55,"Very High",$K67&gt;=0.45,"High",$K67&gt;=0.35,"Moderate",TRUE,"Low"))</f>
        <v/>
      </c>
      <c r="N67" s="18" t="str">
        <f>IF($K67="","",_xludf.IFS($K67&gt;=0.55,"Adopt smoothing by default; phase forecast over expected days and test P75/P90 sensitivity.",$K67&gt;=0.45,"Model a smoothing scenario; use expected spread days in forecast.",$K67&gt;=0.35,"Flag for commercial review; apply light smoothing if project-specific evidence supports it.",TRUE,"No default smoothing; assume short/same-day spread unless contract/customer evidence changes."))</f>
        <v/>
      </c>
    </row>
    <row r="68" spans="1:14" ht="10" customHeight="1" x14ac:dyDescent="0.35">
      <c r="A68" s="16"/>
      <c r="B68" s="17"/>
      <c r="C68" s="17"/>
      <c r="D68" s="17"/>
      <c r="E68" s="17"/>
      <c r="F68" s="17"/>
      <c r="G68" s="24" t="str">
        <f>IF($C68="","",IFERROR(_xludf.XLOOKUP($C68,Category_Summary!$A$5:$A$18,Category_Summary!$F$5:$F$18,$B$3),$B$3))</f>
        <v/>
      </c>
      <c r="H68" s="24" t="str">
        <f>IF($D68="","",IFERROR(_xludf.XLOOKUP($D68,Type_Summary!$A$5:$A$6,Type_Summary!$F$5:$F$6,$B$3),$B$3))</f>
        <v/>
      </c>
      <c r="I68" s="24" t="str">
        <f>IF($E68="","",IFERROR(_xludf.XLOOKUP($E68,Product_Summary!$A$5:$A$32,Product_Summary!$F$5:$F$32,$B$3),$B$3))</f>
        <v/>
      </c>
      <c r="J68" s="24" t="str">
        <f>IF($F68="","",IFERROR(_xludf.XLOOKUP($F68,Account_Summary!$A$5:$A$198,Account_Summary!$F$5:$F$198,$B$3),$B$3))</f>
        <v/>
      </c>
      <c r="K68" s="24" t="str">
        <f t="shared" si="1"/>
        <v/>
      </c>
      <c r="L68" s="25" t="str">
        <f>IF(LEN(TRIM($C68&amp;$D68&amp;$E68&amp;$F68))=0,"",SUM(IFERROR(_xludf.XLOOKUP($C68,Category_Summary!$A$5:$A$18,Category_Summary!$G$5:$G$18,$D$3),$D$3)*0.3,IFERROR(_xludf.XLOOKUP($D68,Type_Summary!$A$5:$A$6,Type_Summary!$G$5:$G$6,$D$3),$D$3)*0.1,IFERROR(_xludf.XLOOKUP($E68,Product_Summary!$A$5:$A$32,Product_Summary!$G$5:$G$32,$D$3),$D$3)*0.3,IFERROR(_xludf.XLOOKUP($F68,Account_Summary!$A$5:$A$198,Account_Summary!$G$5:$G$198,$D$3),$D$3)*0.3))</f>
        <v/>
      </c>
      <c r="M68" s="17" t="str">
        <f>IF($K68="","",_xludf.IFS($K68&gt;=0.55,"Very High",$K68&gt;=0.45,"High",$K68&gt;=0.35,"Moderate",TRUE,"Low"))</f>
        <v/>
      </c>
      <c r="N68" s="18" t="str">
        <f>IF($K68="","",_xludf.IFS($K68&gt;=0.55,"Adopt smoothing by default; phase forecast over expected days and test P75/P90 sensitivity.",$K68&gt;=0.45,"Model a smoothing scenario; use expected spread days in forecast.",$K68&gt;=0.35,"Flag for commercial review; apply light smoothing if project-specific evidence supports it.",TRUE,"No default smoothing; assume short/same-day spread unless contract/customer evidence changes."))</f>
        <v/>
      </c>
    </row>
    <row r="69" spans="1:14" ht="10" customHeight="1" x14ac:dyDescent="0.35">
      <c r="A69" s="16"/>
      <c r="B69" s="17"/>
      <c r="C69" s="17"/>
      <c r="D69" s="17"/>
      <c r="E69" s="17"/>
      <c r="F69" s="17"/>
      <c r="G69" s="24" t="str">
        <f>IF($C69="","",IFERROR(_xludf.XLOOKUP($C69,Category_Summary!$A$5:$A$18,Category_Summary!$F$5:$F$18,$B$3),$B$3))</f>
        <v/>
      </c>
      <c r="H69" s="24" t="str">
        <f>IF($D69="","",IFERROR(_xludf.XLOOKUP($D69,Type_Summary!$A$5:$A$6,Type_Summary!$F$5:$F$6,$B$3),$B$3))</f>
        <v/>
      </c>
      <c r="I69" s="24" t="str">
        <f>IF($E69="","",IFERROR(_xludf.XLOOKUP($E69,Product_Summary!$A$5:$A$32,Product_Summary!$F$5:$F$32,$B$3),$B$3))</f>
        <v/>
      </c>
      <c r="J69" s="24" t="str">
        <f>IF($F69="","",IFERROR(_xludf.XLOOKUP($F69,Account_Summary!$A$5:$A$198,Account_Summary!$F$5:$F$198,$B$3),$B$3))</f>
        <v/>
      </c>
      <c r="K69" s="24" t="str">
        <f t="shared" si="1"/>
        <v/>
      </c>
      <c r="L69" s="25" t="str">
        <f>IF(LEN(TRIM($C69&amp;$D69&amp;$E69&amp;$F69))=0,"",SUM(IFERROR(_xludf.XLOOKUP($C69,Category_Summary!$A$5:$A$18,Category_Summary!$G$5:$G$18,$D$3),$D$3)*0.3,IFERROR(_xludf.XLOOKUP($D69,Type_Summary!$A$5:$A$6,Type_Summary!$G$5:$G$6,$D$3),$D$3)*0.1,IFERROR(_xludf.XLOOKUP($E69,Product_Summary!$A$5:$A$32,Product_Summary!$G$5:$G$32,$D$3),$D$3)*0.3,IFERROR(_xludf.XLOOKUP($F69,Account_Summary!$A$5:$A$198,Account_Summary!$G$5:$G$198,$D$3),$D$3)*0.3))</f>
        <v/>
      </c>
      <c r="M69" s="17" t="str">
        <f>IF($K69="","",_xludf.IFS($K69&gt;=0.55,"Very High",$K69&gt;=0.45,"High",$K69&gt;=0.35,"Moderate",TRUE,"Low"))</f>
        <v/>
      </c>
      <c r="N69" s="18" t="str">
        <f>IF($K69="","",_xludf.IFS($K69&gt;=0.55,"Adopt smoothing by default; phase forecast over expected days and test P75/P90 sensitivity.",$K69&gt;=0.45,"Model a smoothing scenario; use expected spread days in forecast.",$K69&gt;=0.35,"Flag for commercial review; apply light smoothing if project-specific evidence supports it.",TRUE,"No default smoothing; assume short/same-day spread unless contract/customer evidence changes."))</f>
        <v/>
      </c>
    </row>
    <row r="70" spans="1:14" ht="10" customHeight="1" x14ac:dyDescent="0.35">
      <c r="A70" s="16"/>
      <c r="B70" s="17"/>
      <c r="C70" s="17"/>
      <c r="D70" s="17"/>
      <c r="E70" s="17"/>
      <c r="F70" s="17"/>
      <c r="G70" s="24" t="str">
        <f>IF($C70="","",IFERROR(_xludf.XLOOKUP($C70,Category_Summary!$A$5:$A$18,Category_Summary!$F$5:$F$18,$B$3),$B$3))</f>
        <v/>
      </c>
      <c r="H70" s="24" t="str">
        <f>IF($D70="","",IFERROR(_xludf.XLOOKUP($D70,Type_Summary!$A$5:$A$6,Type_Summary!$F$5:$F$6,$B$3),$B$3))</f>
        <v/>
      </c>
      <c r="I70" s="24" t="str">
        <f>IF($E70="","",IFERROR(_xludf.XLOOKUP($E70,Product_Summary!$A$5:$A$32,Product_Summary!$F$5:$F$32,$B$3),$B$3))</f>
        <v/>
      </c>
      <c r="J70" s="24" t="str">
        <f>IF($F70="","",IFERROR(_xludf.XLOOKUP($F70,Account_Summary!$A$5:$A$198,Account_Summary!$F$5:$F$198,$B$3),$B$3))</f>
        <v/>
      </c>
      <c r="K70" s="24" t="str">
        <f t="shared" ref="K70:K105" si="2">IF(LEN(TRIM($C70&amp;$D70&amp;$E70&amp;$F70))=0,"",SUM($G70*0.3,$H70*0.1,$I70*0.3,$J70*0.3))</f>
        <v/>
      </c>
      <c r="L70" s="25" t="str">
        <f>IF(LEN(TRIM($C70&amp;$D70&amp;$E70&amp;$F70))=0,"",SUM(IFERROR(_xludf.XLOOKUP($C70,Category_Summary!$A$5:$A$18,Category_Summary!$G$5:$G$18,$D$3),$D$3)*0.3,IFERROR(_xludf.XLOOKUP($D70,Type_Summary!$A$5:$A$6,Type_Summary!$G$5:$G$6,$D$3),$D$3)*0.1,IFERROR(_xludf.XLOOKUP($E70,Product_Summary!$A$5:$A$32,Product_Summary!$G$5:$G$32,$D$3),$D$3)*0.3,IFERROR(_xludf.XLOOKUP($F70,Account_Summary!$A$5:$A$198,Account_Summary!$G$5:$G$198,$D$3),$D$3)*0.3))</f>
        <v/>
      </c>
      <c r="M70" s="17" t="str">
        <f>IF($K70="","",_xludf.IFS($K70&gt;=0.55,"Very High",$K70&gt;=0.45,"High",$K70&gt;=0.35,"Moderate",TRUE,"Low"))</f>
        <v/>
      </c>
      <c r="N70" s="18" t="str">
        <f>IF($K70="","",_xludf.IFS($K70&gt;=0.55,"Adopt smoothing by default; phase forecast over expected days and test P75/P90 sensitivity.",$K70&gt;=0.45,"Model a smoothing scenario; use expected spread days in forecast.",$K70&gt;=0.35,"Flag for commercial review; apply light smoothing if project-specific evidence supports it.",TRUE,"No default smoothing; assume short/same-day spread unless contract/customer evidence changes."))</f>
        <v/>
      </c>
    </row>
    <row r="71" spans="1:14" ht="10" customHeight="1" x14ac:dyDescent="0.35">
      <c r="A71" s="16"/>
      <c r="B71" s="17"/>
      <c r="C71" s="17"/>
      <c r="D71" s="17"/>
      <c r="E71" s="17"/>
      <c r="F71" s="17"/>
      <c r="G71" s="24" t="str">
        <f>IF($C71="","",IFERROR(_xludf.XLOOKUP($C71,Category_Summary!$A$5:$A$18,Category_Summary!$F$5:$F$18,$B$3),$B$3))</f>
        <v/>
      </c>
      <c r="H71" s="24" t="str">
        <f>IF($D71="","",IFERROR(_xludf.XLOOKUP($D71,Type_Summary!$A$5:$A$6,Type_Summary!$F$5:$F$6,$B$3),$B$3))</f>
        <v/>
      </c>
      <c r="I71" s="24" t="str">
        <f>IF($E71="","",IFERROR(_xludf.XLOOKUP($E71,Product_Summary!$A$5:$A$32,Product_Summary!$F$5:$F$32,$B$3),$B$3))</f>
        <v/>
      </c>
      <c r="J71" s="24" t="str">
        <f>IF($F71="","",IFERROR(_xludf.XLOOKUP($F71,Account_Summary!$A$5:$A$198,Account_Summary!$F$5:$F$198,$B$3),$B$3))</f>
        <v/>
      </c>
      <c r="K71" s="24" t="str">
        <f t="shared" si="2"/>
        <v/>
      </c>
      <c r="L71" s="25" t="str">
        <f>IF(LEN(TRIM($C71&amp;$D71&amp;$E71&amp;$F71))=0,"",SUM(IFERROR(_xludf.XLOOKUP($C71,Category_Summary!$A$5:$A$18,Category_Summary!$G$5:$G$18,$D$3),$D$3)*0.3,IFERROR(_xludf.XLOOKUP($D71,Type_Summary!$A$5:$A$6,Type_Summary!$G$5:$G$6,$D$3),$D$3)*0.1,IFERROR(_xludf.XLOOKUP($E71,Product_Summary!$A$5:$A$32,Product_Summary!$G$5:$G$32,$D$3),$D$3)*0.3,IFERROR(_xludf.XLOOKUP($F71,Account_Summary!$A$5:$A$198,Account_Summary!$G$5:$G$198,$D$3),$D$3)*0.3))</f>
        <v/>
      </c>
      <c r="M71" s="17" t="str">
        <f>IF($K71="","",_xludf.IFS($K71&gt;=0.55,"Very High",$K71&gt;=0.45,"High",$K71&gt;=0.35,"Moderate",TRUE,"Low"))</f>
        <v/>
      </c>
      <c r="N71" s="18" t="str">
        <f>IF($K71="","",_xludf.IFS($K71&gt;=0.55,"Adopt smoothing by default; phase forecast over expected days and test P75/P90 sensitivity.",$K71&gt;=0.45,"Model a smoothing scenario; use expected spread days in forecast.",$K71&gt;=0.35,"Flag for commercial review; apply light smoothing if project-specific evidence supports it.",TRUE,"No default smoothing; assume short/same-day spread unless contract/customer evidence changes."))</f>
        <v/>
      </c>
    </row>
    <row r="72" spans="1:14" ht="10" customHeight="1" x14ac:dyDescent="0.35">
      <c r="A72" s="16"/>
      <c r="B72" s="17"/>
      <c r="C72" s="17"/>
      <c r="D72" s="17"/>
      <c r="E72" s="17"/>
      <c r="F72" s="17"/>
      <c r="G72" s="24" t="str">
        <f>IF($C72="","",IFERROR(_xludf.XLOOKUP($C72,Category_Summary!$A$5:$A$18,Category_Summary!$F$5:$F$18,$B$3),$B$3))</f>
        <v/>
      </c>
      <c r="H72" s="24" t="str">
        <f>IF($D72="","",IFERROR(_xludf.XLOOKUP($D72,Type_Summary!$A$5:$A$6,Type_Summary!$F$5:$F$6,$B$3),$B$3))</f>
        <v/>
      </c>
      <c r="I72" s="24" t="str">
        <f>IF($E72="","",IFERROR(_xludf.XLOOKUP($E72,Product_Summary!$A$5:$A$32,Product_Summary!$F$5:$F$32,$B$3),$B$3))</f>
        <v/>
      </c>
      <c r="J72" s="24" t="str">
        <f>IF($F72="","",IFERROR(_xludf.XLOOKUP($F72,Account_Summary!$A$5:$A$198,Account_Summary!$F$5:$F$198,$B$3),$B$3))</f>
        <v/>
      </c>
      <c r="K72" s="24" t="str">
        <f t="shared" si="2"/>
        <v/>
      </c>
      <c r="L72" s="25" t="str">
        <f>IF(LEN(TRIM($C72&amp;$D72&amp;$E72&amp;$F72))=0,"",SUM(IFERROR(_xludf.XLOOKUP($C72,Category_Summary!$A$5:$A$18,Category_Summary!$G$5:$G$18,$D$3),$D$3)*0.3,IFERROR(_xludf.XLOOKUP($D72,Type_Summary!$A$5:$A$6,Type_Summary!$G$5:$G$6,$D$3),$D$3)*0.1,IFERROR(_xludf.XLOOKUP($E72,Product_Summary!$A$5:$A$32,Product_Summary!$G$5:$G$32,$D$3),$D$3)*0.3,IFERROR(_xludf.XLOOKUP($F72,Account_Summary!$A$5:$A$198,Account_Summary!$G$5:$G$198,$D$3),$D$3)*0.3))</f>
        <v/>
      </c>
      <c r="M72" s="17" t="str">
        <f>IF($K72="","",_xludf.IFS($K72&gt;=0.55,"Very High",$K72&gt;=0.45,"High",$K72&gt;=0.35,"Moderate",TRUE,"Low"))</f>
        <v/>
      </c>
      <c r="N72" s="18" t="str">
        <f>IF($K72="","",_xludf.IFS($K72&gt;=0.55,"Adopt smoothing by default; phase forecast over expected days and test P75/P90 sensitivity.",$K72&gt;=0.45,"Model a smoothing scenario; use expected spread days in forecast.",$K72&gt;=0.35,"Flag for commercial review; apply light smoothing if project-specific evidence supports it.",TRUE,"No default smoothing; assume short/same-day spread unless contract/customer evidence changes."))</f>
        <v/>
      </c>
    </row>
    <row r="73" spans="1:14" ht="10" customHeight="1" x14ac:dyDescent="0.35">
      <c r="A73" s="16"/>
      <c r="B73" s="17"/>
      <c r="C73" s="17"/>
      <c r="D73" s="17"/>
      <c r="E73" s="17"/>
      <c r="F73" s="17"/>
      <c r="G73" s="24" t="str">
        <f>IF($C73="","",IFERROR(_xludf.XLOOKUP($C73,Category_Summary!$A$5:$A$18,Category_Summary!$F$5:$F$18,$B$3),$B$3))</f>
        <v/>
      </c>
      <c r="H73" s="24" t="str">
        <f>IF($D73="","",IFERROR(_xludf.XLOOKUP($D73,Type_Summary!$A$5:$A$6,Type_Summary!$F$5:$F$6,$B$3),$B$3))</f>
        <v/>
      </c>
      <c r="I73" s="24" t="str">
        <f>IF($E73="","",IFERROR(_xludf.XLOOKUP($E73,Product_Summary!$A$5:$A$32,Product_Summary!$F$5:$F$32,$B$3),$B$3))</f>
        <v/>
      </c>
      <c r="J73" s="24" t="str">
        <f>IF($F73="","",IFERROR(_xludf.XLOOKUP($F73,Account_Summary!$A$5:$A$198,Account_Summary!$F$5:$F$198,$B$3),$B$3))</f>
        <v/>
      </c>
      <c r="K73" s="24" t="str">
        <f t="shared" si="2"/>
        <v/>
      </c>
      <c r="L73" s="25" t="str">
        <f>IF(LEN(TRIM($C73&amp;$D73&amp;$E73&amp;$F73))=0,"",SUM(IFERROR(_xludf.XLOOKUP($C73,Category_Summary!$A$5:$A$18,Category_Summary!$G$5:$G$18,$D$3),$D$3)*0.3,IFERROR(_xludf.XLOOKUP($D73,Type_Summary!$A$5:$A$6,Type_Summary!$G$5:$G$6,$D$3),$D$3)*0.1,IFERROR(_xludf.XLOOKUP($E73,Product_Summary!$A$5:$A$32,Product_Summary!$G$5:$G$32,$D$3),$D$3)*0.3,IFERROR(_xludf.XLOOKUP($F73,Account_Summary!$A$5:$A$198,Account_Summary!$G$5:$G$198,$D$3),$D$3)*0.3))</f>
        <v/>
      </c>
      <c r="M73" s="17" t="str">
        <f>IF($K73="","",_xludf.IFS($K73&gt;=0.55,"Very High",$K73&gt;=0.45,"High",$K73&gt;=0.35,"Moderate",TRUE,"Low"))</f>
        <v/>
      </c>
      <c r="N73" s="18" t="str">
        <f>IF($K73="","",_xludf.IFS($K73&gt;=0.55,"Adopt smoothing by default; phase forecast over expected days and test P75/P90 sensitivity.",$K73&gt;=0.45,"Model a smoothing scenario; use expected spread days in forecast.",$K73&gt;=0.35,"Flag for commercial review; apply light smoothing if project-specific evidence supports it.",TRUE,"No default smoothing; assume short/same-day spread unless contract/customer evidence changes."))</f>
        <v/>
      </c>
    </row>
    <row r="74" spans="1:14" ht="10" customHeight="1" x14ac:dyDescent="0.35">
      <c r="A74" s="16"/>
      <c r="B74" s="17"/>
      <c r="C74" s="17"/>
      <c r="D74" s="17"/>
      <c r="E74" s="17"/>
      <c r="F74" s="17"/>
      <c r="G74" s="24" t="str">
        <f>IF($C74="","",IFERROR(_xludf.XLOOKUP($C74,Category_Summary!$A$5:$A$18,Category_Summary!$F$5:$F$18,$B$3),$B$3))</f>
        <v/>
      </c>
      <c r="H74" s="24" t="str">
        <f>IF($D74="","",IFERROR(_xludf.XLOOKUP($D74,Type_Summary!$A$5:$A$6,Type_Summary!$F$5:$F$6,$B$3),$B$3))</f>
        <v/>
      </c>
      <c r="I74" s="24" t="str">
        <f>IF($E74="","",IFERROR(_xludf.XLOOKUP($E74,Product_Summary!$A$5:$A$32,Product_Summary!$F$5:$F$32,$B$3),$B$3))</f>
        <v/>
      </c>
      <c r="J74" s="24" t="str">
        <f>IF($F74="","",IFERROR(_xludf.XLOOKUP($F74,Account_Summary!$A$5:$A$198,Account_Summary!$F$5:$F$198,$B$3),$B$3))</f>
        <v/>
      </c>
      <c r="K74" s="24" t="str">
        <f t="shared" si="2"/>
        <v/>
      </c>
      <c r="L74" s="25" t="str">
        <f>IF(LEN(TRIM($C74&amp;$D74&amp;$E74&amp;$F74))=0,"",SUM(IFERROR(_xludf.XLOOKUP($C74,Category_Summary!$A$5:$A$18,Category_Summary!$G$5:$G$18,$D$3),$D$3)*0.3,IFERROR(_xludf.XLOOKUP($D74,Type_Summary!$A$5:$A$6,Type_Summary!$G$5:$G$6,$D$3),$D$3)*0.1,IFERROR(_xludf.XLOOKUP($E74,Product_Summary!$A$5:$A$32,Product_Summary!$G$5:$G$32,$D$3),$D$3)*0.3,IFERROR(_xludf.XLOOKUP($F74,Account_Summary!$A$5:$A$198,Account_Summary!$G$5:$G$198,$D$3),$D$3)*0.3))</f>
        <v/>
      </c>
      <c r="M74" s="17" t="str">
        <f>IF($K74="","",_xludf.IFS($K74&gt;=0.55,"Very High",$K74&gt;=0.45,"High",$K74&gt;=0.35,"Moderate",TRUE,"Low"))</f>
        <v/>
      </c>
      <c r="N74" s="18" t="str">
        <f>IF($K74="","",_xludf.IFS($K74&gt;=0.55,"Adopt smoothing by default; phase forecast over expected days and test P75/P90 sensitivity.",$K74&gt;=0.45,"Model a smoothing scenario; use expected spread days in forecast.",$K74&gt;=0.35,"Flag for commercial review; apply light smoothing if project-specific evidence supports it.",TRUE,"No default smoothing; assume short/same-day spread unless contract/customer evidence changes."))</f>
        <v/>
      </c>
    </row>
    <row r="75" spans="1:14" ht="10" customHeight="1" x14ac:dyDescent="0.35">
      <c r="A75" s="16"/>
      <c r="B75" s="17"/>
      <c r="C75" s="17"/>
      <c r="D75" s="17"/>
      <c r="E75" s="17"/>
      <c r="F75" s="17"/>
      <c r="G75" s="24" t="str">
        <f>IF($C75="","",IFERROR(_xludf.XLOOKUP($C75,Category_Summary!$A$5:$A$18,Category_Summary!$F$5:$F$18,$B$3),$B$3))</f>
        <v/>
      </c>
      <c r="H75" s="24" t="str">
        <f>IF($D75="","",IFERROR(_xludf.XLOOKUP($D75,Type_Summary!$A$5:$A$6,Type_Summary!$F$5:$F$6,$B$3),$B$3))</f>
        <v/>
      </c>
      <c r="I75" s="24" t="str">
        <f>IF($E75="","",IFERROR(_xludf.XLOOKUP($E75,Product_Summary!$A$5:$A$32,Product_Summary!$F$5:$F$32,$B$3),$B$3))</f>
        <v/>
      </c>
      <c r="J75" s="24" t="str">
        <f>IF($F75="","",IFERROR(_xludf.XLOOKUP($F75,Account_Summary!$A$5:$A$198,Account_Summary!$F$5:$F$198,$B$3),$B$3))</f>
        <v/>
      </c>
      <c r="K75" s="24" t="str">
        <f t="shared" si="2"/>
        <v/>
      </c>
      <c r="L75" s="25" t="str">
        <f>IF(LEN(TRIM($C75&amp;$D75&amp;$E75&amp;$F75))=0,"",SUM(IFERROR(_xludf.XLOOKUP($C75,Category_Summary!$A$5:$A$18,Category_Summary!$G$5:$G$18,$D$3),$D$3)*0.3,IFERROR(_xludf.XLOOKUP($D75,Type_Summary!$A$5:$A$6,Type_Summary!$G$5:$G$6,$D$3),$D$3)*0.1,IFERROR(_xludf.XLOOKUP($E75,Product_Summary!$A$5:$A$32,Product_Summary!$G$5:$G$32,$D$3),$D$3)*0.3,IFERROR(_xludf.XLOOKUP($F75,Account_Summary!$A$5:$A$198,Account_Summary!$G$5:$G$198,$D$3),$D$3)*0.3))</f>
        <v/>
      </c>
      <c r="M75" s="17" t="str">
        <f>IF($K75="","",_xludf.IFS($K75&gt;=0.55,"Very High",$K75&gt;=0.45,"High",$K75&gt;=0.35,"Moderate",TRUE,"Low"))</f>
        <v/>
      </c>
      <c r="N75" s="18" t="str">
        <f>IF($K75="","",_xludf.IFS($K75&gt;=0.55,"Adopt smoothing by default; phase forecast over expected days and test P75/P90 sensitivity.",$K75&gt;=0.45,"Model a smoothing scenario; use expected spread days in forecast.",$K75&gt;=0.35,"Flag for commercial review; apply light smoothing if project-specific evidence supports it.",TRUE,"No default smoothing; assume short/same-day spread unless contract/customer evidence changes."))</f>
        <v/>
      </c>
    </row>
    <row r="76" spans="1:14" ht="10" customHeight="1" x14ac:dyDescent="0.35">
      <c r="A76" s="16"/>
      <c r="B76" s="17"/>
      <c r="C76" s="17"/>
      <c r="D76" s="17"/>
      <c r="E76" s="17"/>
      <c r="F76" s="17"/>
      <c r="G76" s="24" t="str">
        <f>IF($C76="","",IFERROR(_xludf.XLOOKUP($C76,Category_Summary!$A$5:$A$18,Category_Summary!$F$5:$F$18,$B$3),$B$3))</f>
        <v/>
      </c>
      <c r="H76" s="24" t="str">
        <f>IF($D76="","",IFERROR(_xludf.XLOOKUP($D76,Type_Summary!$A$5:$A$6,Type_Summary!$F$5:$F$6,$B$3),$B$3))</f>
        <v/>
      </c>
      <c r="I76" s="24" t="str">
        <f>IF($E76="","",IFERROR(_xludf.XLOOKUP($E76,Product_Summary!$A$5:$A$32,Product_Summary!$F$5:$F$32,$B$3),$B$3))</f>
        <v/>
      </c>
      <c r="J76" s="24" t="str">
        <f>IF($F76="","",IFERROR(_xludf.XLOOKUP($F76,Account_Summary!$A$5:$A$198,Account_Summary!$F$5:$F$198,$B$3),$B$3))</f>
        <v/>
      </c>
      <c r="K76" s="24" t="str">
        <f t="shared" si="2"/>
        <v/>
      </c>
      <c r="L76" s="25" t="str">
        <f>IF(LEN(TRIM($C76&amp;$D76&amp;$E76&amp;$F76))=0,"",SUM(IFERROR(_xludf.XLOOKUP($C76,Category_Summary!$A$5:$A$18,Category_Summary!$G$5:$G$18,$D$3),$D$3)*0.3,IFERROR(_xludf.XLOOKUP($D76,Type_Summary!$A$5:$A$6,Type_Summary!$G$5:$G$6,$D$3),$D$3)*0.1,IFERROR(_xludf.XLOOKUP($E76,Product_Summary!$A$5:$A$32,Product_Summary!$G$5:$G$32,$D$3),$D$3)*0.3,IFERROR(_xludf.XLOOKUP($F76,Account_Summary!$A$5:$A$198,Account_Summary!$G$5:$G$198,$D$3),$D$3)*0.3))</f>
        <v/>
      </c>
      <c r="M76" s="17" t="str">
        <f>IF($K76="","",_xludf.IFS($K76&gt;=0.55,"Very High",$K76&gt;=0.45,"High",$K76&gt;=0.35,"Moderate",TRUE,"Low"))</f>
        <v/>
      </c>
      <c r="N76" s="18" t="str">
        <f>IF($K76="","",_xludf.IFS($K76&gt;=0.55,"Adopt smoothing by default; phase forecast over expected days and test P75/P90 sensitivity.",$K76&gt;=0.45,"Model a smoothing scenario; use expected spread days in forecast.",$K76&gt;=0.35,"Flag for commercial review; apply light smoothing if project-specific evidence supports it.",TRUE,"No default smoothing; assume short/same-day spread unless contract/customer evidence changes."))</f>
        <v/>
      </c>
    </row>
    <row r="77" spans="1:14" ht="10" customHeight="1" x14ac:dyDescent="0.35">
      <c r="A77" s="16"/>
      <c r="B77" s="17"/>
      <c r="C77" s="17"/>
      <c r="D77" s="17"/>
      <c r="E77" s="17"/>
      <c r="F77" s="17"/>
      <c r="G77" s="24" t="str">
        <f>IF($C77="","",IFERROR(_xludf.XLOOKUP($C77,Category_Summary!$A$5:$A$18,Category_Summary!$F$5:$F$18,$B$3),$B$3))</f>
        <v/>
      </c>
      <c r="H77" s="24" t="str">
        <f>IF($D77="","",IFERROR(_xludf.XLOOKUP($D77,Type_Summary!$A$5:$A$6,Type_Summary!$F$5:$F$6,$B$3),$B$3))</f>
        <v/>
      </c>
      <c r="I77" s="24" t="str">
        <f>IF($E77="","",IFERROR(_xludf.XLOOKUP($E77,Product_Summary!$A$5:$A$32,Product_Summary!$F$5:$F$32,$B$3),$B$3))</f>
        <v/>
      </c>
      <c r="J77" s="24" t="str">
        <f>IF($F77="","",IFERROR(_xludf.XLOOKUP($F77,Account_Summary!$A$5:$A$198,Account_Summary!$F$5:$F$198,$B$3),$B$3))</f>
        <v/>
      </c>
      <c r="K77" s="24" t="str">
        <f t="shared" si="2"/>
        <v/>
      </c>
      <c r="L77" s="25" t="str">
        <f>IF(LEN(TRIM($C77&amp;$D77&amp;$E77&amp;$F77))=0,"",SUM(IFERROR(_xludf.XLOOKUP($C77,Category_Summary!$A$5:$A$18,Category_Summary!$G$5:$G$18,$D$3),$D$3)*0.3,IFERROR(_xludf.XLOOKUP($D77,Type_Summary!$A$5:$A$6,Type_Summary!$G$5:$G$6,$D$3),$D$3)*0.1,IFERROR(_xludf.XLOOKUP($E77,Product_Summary!$A$5:$A$32,Product_Summary!$G$5:$G$32,$D$3),$D$3)*0.3,IFERROR(_xludf.XLOOKUP($F77,Account_Summary!$A$5:$A$198,Account_Summary!$G$5:$G$198,$D$3),$D$3)*0.3))</f>
        <v/>
      </c>
      <c r="M77" s="17" t="str">
        <f>IF($K77="","",_xludf.IFS($K77&gt;=0.55,"Very High",$K77&gt;=0.45,"High",$K77&gt;=0.35,"Moderate",TRUE,"Low"))</f>
        <v/>
      </c>
      <c r="N77" s="18" t="str">
        <f>IF($K77="","",_xludf.IFS($K77&gt;=0.55,"Adopt smoothing by default; phase forecast over expected days and test P75/P90 sensitivity.",$K77&gt;=0.45,"Model a smoothing scenario; use expected spread days in forecast.",$K77&gt;=0.35,"Flag for commercial review; apply light smoothing if project-specific evidence supports it.",TRUE,"No default smoothing; assume short/same-day spread unless contract/customer evidence changes."))</f>
        <v/>
      </c>
    </row>
    <row r="78" spans="1:14" ht="10" customHeight="1" x14ac:dyDescent="0.35">
      <c r="A78" s="16"/>
      <c r="B78" s="17"/>
      <c r="C78" s="17"/>
      <c r="D78" s="17"/>
      <c r="E78" s="17"/>
      <c r="F78" s="17"/>
      <c r="G78" s="24" t="str">
        <f>IF($C78="","",IFERROR(_xludf.XLOOKUP($C78,Category_Summary!$A$5:$A$18,Category_Summary!$F$5:$F$18,$B$3),$B$3))</f>
        <v/>
      </c>
      <c r="H78" s="24" t="str">
        <f>IF($D78="","",IFERROR(_xludf.XLOOKUP($D78,Type_Summary!$A$5:$A$6,Type_Summary!$F$5:$F$6,$B$3),$B$3))</f>
        <v/>
      </c>
      <c r="I78" s="24" t="str">
        <f>IF($E78="","",IFERROR(_xludf.XLOOKUP($E78,Product_Summary!$A$5:$A$32,Product_Summary!$F$5:$F$32,$B$3),$B$3))</f>
        <v/>
      </c>
      <c r="J78" s="24" t="str">
        <f>IF($F78="","",IFERROR(_xludf.XLOOKUP($F78,Account_Summary!$A$5:$A$198,Account_Summary!$F$5:$F$198,$B$3),$B$3))</f>
        <v/>
      </c>
      <c r="K78" s="24" t="str">
        <f t="shared" si="2"/>
        <v/>
      </c>
      <c r="L78" s="25" t="str">
        <f>IF(LEN(TRIM($C78&amp;$D78&amp;$E78&amp;$F78))=0,"",SUM(IFERROR(_xludf.XLOOKUP($C78,Category_Summary!$A$5:$A$18,Category_Summary!$G$5:$G$18,$D$3),$D$3)*0.3,IFERROR(_xludf.XLOOKUP($D78,Type_Summary!$A$5:$A$6,Type_Summary!$G$5:$G$6,$D$3),$D$3)*0.1,IFERROR(_xludf.XLOOKUP($E78,Product_Summary!$A$5:$A$32,Product_Summary!$G$5:$G$32,$D$3),$D$3)*0.3,IFERROR(_xludf.XLOOKUP($F78,Account_Summary!$A$5:$A$198,Account_Summary!$G$5:$G$198,$D$3),$D$3)*0.3))</f>
        <v/>
      </c>
      <c r="M78" s="17" t="str">
        <f>IF($K78="","",_xludf.IFS($K78&gt;=0.55,"Very High",$K78&gt;=0.45,"High",$K78&gt;=0.35,"Moderate",TRUE,"Low"))</f>
        <v/>
      </c>
      <c r="N78" s="18" t="str">
        <f>IF($K78="","",_xludf.IFS($K78&gt;=0.55,"Adopt smoothing by default; phase forecast over expected days and test P75/P90 sensitivity.",$K78&gt;=0.45,"Model a smoothing scenario; use expected spread days in forecast.",$K78&gt;=0.35,"Flag for commercial review; apply light smoothing if project-specific evidence supports it.",TRUE,"No default smoothing; assume short/same-day spread unless contract/customer evidence changes."))</f>
        <v/>
      </c>
    </row>
    <row r="79" spans="1:14" ht="10" customHeight="1" x14ac:dyDescent="0.35">
      <c r="A79" s="16"/>
      <c r="B79" s="17"/>
      <c r="C79" s="17"/>
      <c r="D79" s="17"/>
      <c r="E79" s="17"/>
      <c r="F79" s="17"/>
      <c r="G79" s="24" t="str">
        <f>IF($C79="","",IFERROR(_xludf.XLOOKUP($C79,Category_Summary!$A$5:$A$18,Category_Summary!$F$5:$F$18,$B$3),$B$3))</f>
        <v/>
      </c>
      <c r="H79" s="24" t="str">
        <f>IF($D79="","",IFERROR(_xludf.XLOOKUP($D79,Type_Summary!$A$5:$A$6,Type_Summary!$F$5:$F$6,$B$3),$B$3))</f>
        <v/>
      </c>
      <c r="I79" s="24" t="str">
        <f>IF($E79="","",IFERROR(_xludf.XLOOKUP($E79,Product_Summary!$A$5:$A$32,Product_Summary!$F$5:$F$32,$B$3),$B$3))</f>
        <v/>
      </c>
      <c r="J79" s="24" t="str">
        <f>IF($F79="","",IFERROR(_xludf.XLOOKUP($F79,Account_Summary!$A$5:$A$198,Account_Summary!$F$5:$F$198,$B$3),$B$3))</f>
        <v/>
      </c>
      <c r="K79" s="24" t="str">
        <f t="shared" si="2"/>
        <v/>
      </c>
      <c r="L79" s="25" t="str">
        <f>IF(LEN(TRIM($C79&amp;$D79&amp;$E79&amp;$F79))=0,"",SUM(IFERROR(_xludf.XLOOKUP($C79,Category_Summary!$A$5:$A$18,Category_Summary!$G$5:$G$18,$D$3),$D$3)*0.3,IFERROR(_xludf.XLOOKUP($D79,Type_Summary!$A$5:$A$6,Type_Summary!$G$5:$G$6,$D$3),$D$3)*0.1,IFERROR(_xludf.XLOOKUP($E79,Product_Summary!$A$5:$A$32,Product_Summary!$G$5:$G$32,$D$3),$D$3)*0.3,IFERROR(_xludf.XLOOKUP($F79,Account_Summary!$A$5:$A$198,Account_Summary!$G$5:$G$198,$D$3),$D$3)*0.3))</f>
        <v/>
      </c>
      <c r="M79" s="17" t="str">
        <f>IF($K79="","",_xludf.IFS($K79&gt;=0.55,"Very High",$K79&gt;=0.45,"High",$K79&gt;=0.35,"Moderate",TRUE,"Low"))</f>
        <v/>
      </c>
      <c r="N79" s="18" t="str">
        <f>IF($K79="","",_xludf.IFS($K79&gt;=0.55,"Adopt smoothing by default; phase forecast over expected days and test P75/P90 sensitivity.",$K79&gt;=0.45,"Model a smoothing scenario; use expected spread days in forecast.",$K79&gt;=0.35,"Flag for commercial review; apply light smoothing if project-specific evidence supports it.",TRUE,"No default smoothing; assume short/same-day spread unless contract/customer evidence changes."))</f>
        <v/>
      </c>
    </row>
    <row r="80" spans="1:14" ht="10" customHeight="1" x14ac:dyDescent="0.35">
      <c r="A80" s="16"/>
      <c r="B80" s="17"/>
      <c r="C80" s="17"/>
      <c r="D80" s="17"/>
      <c r="E80" s="17"/>
      <c r="F80" s="17"/>
      <c r="G80" s="24" t="str">
        <f>IF($C80="","",IFERROR(_xludf.XLOOKUP($C80,Category_Summary!$A$5:$A$18,Category_Summary!$F$5:$F$18,$B$3),$B$3))</f>
        <v/>
      </c>
      <c r="H80" s="24" t="str">
        <f>IF($D80="","",IFERROR(_xludf.XLOOKUP($D80,Type_Summary!$A$5:$A$6,Type_Summary!$F$5:$F$6,$B$3),$B$3))</f>
        <v/>
      </c>
      <c r="I80" s="24" t="str">
        <f>IF($E80="","",IFERROR(_xludf.XLOOKUP($E80,Product_Summary!$A$5:$A$32,Product_Summary!$F$5:$F$32,$B$3),$B$3))</f>
        <v/>
      </c>
      <c r="J80" s="24" t="str">
        <f>IF($F80="","",IFERROR(_xludf.XLOOKUP($F80,Account_Summary!$A$5:$A$198,Account_Summary!$F$5:$F$198,$B$3),$B$3))</f>
        <v/>
      </c>
      <c r="K80" s="24" t="str">
        <f t="shared" si="2"/>
        <v/>
      </c>
      <c r="L80" s="25" t="str">
        <f>IF(LEN(TRIM($C80&amp;$D80&amp;$E80&amp;$F80))=0,"",SUM(IFERROR(_xludf.XLOOKUP($C80,Category_Summary!$A$5:$A$18,Category_Summary!$G$5:$G$18,$D$3),$D$3)*0.3,IFERROR(_xludf.XLOOKUP($D80,Type_Summary!$A$5:$A$6,Type_Summary!$G$5:$G$6,$D$3),$D$3)*0.1,IFERROR(_xludf.XLOOKUP($E80,Product_Summary!$A$5:$A$32,Product_Summary!$G$5:$G$32,$D$3),$D$3)*0.3,IFERROR(_xludf.XLOOKUP($F80,Account_Summary!$A$5:$A$198,Account_Summary!$G$5:$G$198,$D$3),$D$3)*0.3))</f>
        <v/>
      </c>
      <c r="M80" s="17" t="str">
        <f>IF($K80="","",_xludf.IFS($K80&gt;=0.55,"Very High",$K80&gt;=0.45,"High",$K80&gt;=0.35,"Moderate",TRUE,"Low"))</f>
        <v/>
      </c>
      <c r="N80" s="18" t="str">
        <f>IF($K80="","",_xludf.IFS($K80&gt;=0.55,"Adopt smoothing by default; phase forecast over expected days and test P75/P90 sensitivity.",$K80&gt;=0.45,"Model a smoothing scenario; use expected spread days in forecast.",$K80&gt;=0.35,"Flag for commercial review; apply light smoothing if project-specific evidence supports it.",TRUE,"No default smoothing; assume short/same-day spread unless contract/customer evidence changes."))</f>
        <v/>
      </c>
    </row>
    <row r="81" spans="1:14" ht="10" customHeight="1" x14ac:dyDescent="0.35">
      <c r="A81" s="16"/>
      <c r="B81" s="17"/>
      <c r="C81" s="17"/>
      <c r="D81" s="17"/>
      <c r="E81" s="17"/>
      <c r="F81" s="17"/>
      <c r="G81" s="24" t="str">
        <f>IF($C81="","",IFERROR(_xludf.XLOOKUP($C81,Category_Summary!$A$5:$A$18,Category_Summary!$F$5:$F$18,$B$3),$B$3))</f>
        <v/>
      </c>
      <c r="H81" s="24" t="str">
        <f>IF($D81="","",IFERROR(_xludf.XLOOKUP($D81,Type_Summary!$A$5:$A$6,Type_Summary!$F$5:$F$6,$B$3),$B$3))</f>
        <v/>
      </c>
      <c r="I81" s="24" t="str">
        <f>IF($E81="","",IFERROR(_xludf.XLOOKUP($E81,Product_Summary!$A$5:$A$32,Product_Summary!$F$5:$F$32,$B$3),$B$3))</f>
        <v/>
      </c>
      <c r="J81" s="24" t="str">
        <f>IF($F81="","",IFERROR(_xludf.XLOOKUP($F81,Account_Summary!$A$5:$A$198,Account_Summary!$F$5:$F$198,$B$3),$B$3))</f>
        <v/>
      </c>
      <c r="K81" s="24" t="str">
        <f t="shared" si="2"/>
        <v/>
      </c>
      <c r="L81" s="25" t="str">
        <f>IF(LEN(TRIM($C81&amp;$D81&amp;$E81&amp;$F81))=0,"",SUM(IFERROR(_xludf.XLOOKUP($C81,Category_Summary!$A$5:$A$18,Category_Summary!$G$5:$G$18,$D$3),$D$3)*0.3,IFERROR(_xludf.XLOOKUP($D81,Type_Summary!$A$5:$A$6,Type_Summary!$G$5:$G$6,$D$3),$D$3)*0.1,IFERROR(_xludf.XLOOKUP($E81,Product_Summary!$A$5:$A$32,Product_Summary!$G$5:$G$32,$D$3),$D$3)*0.3,IFERROR(_xludf.XLOOKUP($F81,Account_Summary!$A$5:$A$198,Account_Summary!$G$5:$G$198,$D$3),$D$3)*0.3))</f>
        <v/>
      </c>
      <c r="M81" s="17" t="str">
        <f>IF($K81="","",_xludf.IFS($K81&gt;=0.55,"Very High",$K81&gt;=0.45,"High",$K81&gt;=0.35,"Moderate",TRUE,"Low"))</f>
        <v/>
      </c>
      <c r="N81" s="18" t="str">
        <f>IF($K81="","",_xludf.IFS($K81&gt;=0.55,"Adopt smoothing by default; phase forecast over expected days and test P75/P90 sensitivity.",$K81&gt;=0.45,"Model a smoothing scenario; use expected spread days in forecast.",$K81&gt;=0.35,"Flag for commercial review; apply light smoothing if project-specific evidence supports it.",TRUE,"No default smoothing; assume short/same-day spread unless contract/customer evidence changes."))</f>
        <v/>
      </c>
    </row>
    <row r="82" spans="1:14" ht="10" customHeight="1" x14ac:dyDescent="0.35">
      <c r="A82" s="16"/>
      <c r="B82" s="17"/>
      <c r="C82" s="17"/>
      <c r="D82" s="17"/>
      <c r="E82" s="17"/>
      <c r="F82" s="17"/>
      <c r="G82" s="24" t="str">
        <f>IF($C82="","",IFERROR(_xludf.XLOOKUP($C82,Category_Summary!$A$5:$A$18,Category_Summary!$F$5:$F$18,$B$3),$B$3))</f>
        <v/>
      </c>
      <c r="H82" s="24" t="str">
        <f>IF($D82="","",IFERROR(_xludf.XLOOKUP($D82,Type_Summary!$A$5:$A$6,Type_Summary!$F$5:$F$6,$B$3),$B$3))</f>
        <v/>
      </c>
      <c r="I82" s="24" t="str">
        <f>IF($E82="","",IFERROR(_xludf.XLOOKUP($E82,Product_Summary!$A$5:$A$32,Product_Summary!$F$5:$F$32,$B$3),$B$3))</f>
        <v/>
      </c>
      <c r="J82" s="24" t="str">
        <f>IF($F82="","",IFERROR(_xludf.XLOOKUP($F82,Account_Summary!$A$5:$A$198,Account_Summary!$F$5:$F$198,$B$3),$B$3))</f>
        <v/>
      </c>
      <c r="K82" s="24" t="str">
        <f t="shared" si="2"/>
        <v/>
      </c>
      <c r="L82" s="25" t="str">
        <f>IF(LEN(TRIM($C82&amp;$D82&amp;$E82&amp;$F82))=0,"",SUM(IFERROR(_xludf.XLOOKUP($C82,Category_Summary!$A$5:$A$18,Category_Summary!$G$5:$G$18,$D$3),$D$3)*0.3,IFERROR(_xludf.XLOOKUP($D82,Type_Summary!$A$5:$A$6,Type_Summary!$G$5:$G$6,$D$3),$D$3)*0.1,IFERROR(_xludf.XLOOKUP($E82,Product_Summary!$A$5:$A$32,Product_Summary!$G$5:$G$32,$D$3),$D$3)*0.3,IFERROR(_xludf.XLOOKUP($F82,Account_Summary!$A$5:$A$198,Account_Summary!$G$5:$G$198,$D$3),$D$3)*0.3))</f>
        <v/>
      </c>
      <c r="M82" s="17" t="str">
        <f>IF($K82="","",_xludf.IFS($K82&gt;=0.55,"Very High",$K82&gt;=0.45,"High",$K82&gt;=0.35,"Moderate",TRUE,"Low"))</f>
        <v/>
      </c>
      <c r="N82" s="18" t="str">
        <f>IF($K82="","",_xludf.IFS($K82&gt;=0.55,"Adopt smoothing by default; phase forecast over expected days and test P75/P90 sensitivity.",$K82&gt;=0.45,"Model a smoothing scenario; use expected spread days in forecast.",$K82&gt;=0.35,"Flag for commercial review; apply light smoothing if project-specific evidence supports it.",TRUE,"No default smoothing; assume short/same-day spread unless contract/customer evidence changes."))</f>
        <v/>
      </c>
    </row>
    <row r="83" spans="1:14" ht="10" customHeight="1" x14ac:dyDescent="0.35">
      <c r="A83" s="16"/>
      <c r="B83" s="17"/>
      <c r="C83" s="17"/>
      <c r="D83" s="17"/>
      <c r="E83" s="17"/>
      <c r="F83" s="17"/>
      <c r="G83" s="24" t="str">
        <f>IF($C83="","",IFERROR(_xludf.XLOOKUP($C83,Category_Summary!$A$5:$A$18,Category_Summary!$F$5:$F$18,$B$3),$B$3))</f>
        <v/>
      </c>
      <c r="H83" s="24" t="str">
        <f>IF($D83="","",IFERROR(_xludf.XLOOKUP($D83,Type_Summary!$A$5:$A$6,Type_Summary!$F$5:$F$6,$B$3),$B$3))</f>
        <v/>
      </c>
      <c r="I83" s="24" t="str">
        <f>IF($E83="","",IFERROR(_xludf.XLOOKUP($E83,Product_Summary!$A$5:$A$32,Product_Summary!$F$5:$F$32,$B$3),$B$3))</f>
        <v/>
      </c>
      <c r="J83" s="24" t="str">
        <f>IF($F83="","",IFERROR(_xludf.XLOOKUP($F83,Account_Summary!$A$5:$A$198,Account_Summary!$F$5:$F$198,$B$3),$B$3))</f>
        <v/>
      </c>
      <c r="K83" s="24" t="str">
        <f t="shared" si="2"/>
        <v/>
      </c>
      <c r="L83" s="25" t="str">
        <f>IF(LEN(TRIM($C83&amp;$D83&amp;$E83&amp;$F83))=0,"",SUM(IFERROR(_xludf.XLOOKUP($C83,Category_Summary!$A$5:$A$18,Category_Summary!$G$5:$G$18,$D$3),$D$3)*0.3,IFERROR(_xludf.XLOOKUP($D83,Type_Summary!$A$5:$A$6,Type_Summary!$G$5:$G$6,$D$3),$D$3)*0.1,IFERROR(_xludf.XLOOKUP($E83,Product_Summary!$A$5:$A$32,Product_Summary!$G$5:$G$32,$D$3),$D$3)*0.3,IFERROR(_xludf.XLOOKUP($F83,Account_Summary!$A$5:$A$198,Account_Summary!$G$5:$G$198,$D$3),$D$3)*0.3))</f>
        <v/>
      </c>
      <c r="M83" s="17" t="str">
        <f>IF($K83="","",_xludf.IFS($K83&gt;=0.55,"Very High",$K83&gt;=0.45,"High",$K83&gt;=0.35,"Moderate",TRUE,"Low"))</f>
        <v/>
      </c>
      <c r="N83" s="18" t="str">
        <f>IF($K83="","",_xludf.IFS($K83&gt;=0.55,"Adopt smoothing by default; phase forecast over expected days and test P75/P90 sensitivity.",$K83&gt;=0.45,"Model a smoothing scenario; use expected spread days in forecast.",$K83&gt;=0.35,"Flag for commercial review; apply light smoothing if project-specific evidence supports it.",TRUE,"No default smoothing; assume short/same-day spread unless contract/customer evidence changes."))</f>
        <v/>
      </c>
    </row>
    <row r="84" spans="1:14" ht="10" customHeight="1" x14ac:dyDescent="0.35">
      <c r="A84" s="16"/>
      <c r="B84" s="17"/>
      <c r="C84" s="17"/>
      <c r="D84" s="17"/>
      <c r="E84" s="17"/>
      <c r="F84" s="17"/>
      <c r="G84" s="24" t="str">
        <f>IF($C84="","",IFERROR(_xludf.XLOOKUP($C84,Category_Summary!$A$5:$A$18,Category_Summary!$F$5:$F$18,$B$3),$B$3))</f>
        <v/>
      </c>
      <c r="H84" s="24" t="str">
        <f>IF($D84="","",IFERROR(_xludf.XLOOKUP($D84,Type_Summary!$A$5:$A$6,Type_Summary!$F$5:$F$6,$B$3),$B$3))</f>
        <v/>
      </c>
      <c r="I84" s="24" t="str">
        <f>IF($E84="","",IFERROR(_xludf.XLOOKUP($E84,Product_Summary!$A$5:$A$32,Product_Summary!$F$5:$F$32,$B$3),$B$3))</f>
        <v/>
      </c>
      <c r="J84" s="24" t="str">
        <f>IF($F84="","",IFERROR(_xludf.XLOOKUP($F84,Account_Summary!$A$5:$A$198,Account_Summary!$F$5:$F$198,$B$3),$B$3))</f>
        <v/>
      </c>
      <c r="K84" s="24" t="str">
        <f t="shared" si="2"/>
        <v/>
      </c>
      <c r="L84" s="25" t="str">
        <f>IF(LEN(TRIM($C84&amp;$D84&amp;$E84&amp;$F84))=0,"",SUM(IFERROR(_xludf.XLOOKUP($C84,Category_Summary!$A$5:$A$18,Category_Summary!$G$5:$G$18,$D$3),$D$3)*0.3,IFERROR(_xludf.XLOOKUP($D84,Type_Summary!$A$5:$A$6,Type_Summary!$G$5:$G$6,$D$3),$D$3)*0.1,IFERROR(_xludf.XLOOKUP($E84,Product_Summary!$A$5:$A$32,Product_Summary!$G$5:$G$32,$D$3),$D$3)*0.3,IFERROR(_xludf.XLOOKUP($F84,Account_Summary!$A$5:$A$198,Account_Summary!$G$5:$G$198,$D$3),$D$3)*0.3))</f>
        <v/>
      </c>
      <c r="M84" s="17" t="str">
        <f>IF($K84="","",_xludf.IFS($K84&gt;=0.55,"Very High",$K84&gt;=0.45,"High",$K84&gt;=0.35,"Moderate",TRUE,"Low"))</f>
        <v/>
      </c>
      <c r="N84" s="18" t="str">
        <f>IF($K84="","",_xludf.IFS($K84&gt;=0.55,"Adopt smoothing by default; phase forecast over expected days and test P75/P90 sensitivity.",$K84&gt;=0.45,"Model a smoothing scenario; use expected spread days in forecast.",$K84&gt;=0.35,"Flag for commercial review; apply light smoothing if project-specific evidence supports it.",TRUE,"No default smoothing; assume short/same-day spread unless contract/customer evidence changes."))</f>
        <v/>
      </c>
    </row>
    <row r="85" spans="1:14" ht="10" customHeight="1" x14ac:dyDescent="0.35">
      <c r="A85" s="16"/>
      <c r="B85" s="17"/>
      <c r="C85" s="17"/>
      <c r="D85" s="17"/>
      <c r="E85" s="17"/>
      <c r="F85" s="17"/>
      <c r="G85" s="24" t="str">
        <f>IF($C85="","",IFERROR(_xludf.XLOOKUP($C85,Category_Summary!$A$5:$A$18,Category_Summary!$F$5:$F$18,$B$3),$B$3))</f>
        <v/>
      </c>
      <c r="H85" s="24" t="str">
        <f>IF($D85="","",IFERROR(_xludf.XLOOKUP($D85,Type_Summary!$A$5:$A$6,Type_Summary!$F$5:$F$6,$B$3),$B$3))</f>
        <v/>
      </c>
      <c r="I85" s="24" t="str">
        <f>IF($E85="","",IFERROR(_xludf.XLOOKUP($E85,Product_Summary!$A$5:$A$32,Product_Summary!$F$5:$F$32,$B$3),$B$3))</f>
        <v/>
      </c>
      <c r="J85" s="24" t="str">
        <f>IF($F85="","",IFERROR(_xludf.XLOOKUP($F85,Account_Summary!$A$5:$A$198,Account_Summary!$F$5:$F$198,$B$3),$B$3))</f>
        <v/>
      </c>
      <c r="K85" s="24" t="str">
        <f t="shared" si="2"/>
        <v/>
      </c>
      <c r="L85" s="25" t="str">
        <f>IF(LEN(TRIM($C85&amp;$D85&amp;$E85&amp;$F85))=0,"",SUM(IFERROR(_xludf.XLOOKUP($C85,Category_Summary!$A$5:$A$18,Category_Summary!$G$5:$G$18,$D$3),$D$3)*0.3,IFERROR(_xludf.XLOOKUP($D85,Type_Summary!$A$5:$A$6,Type_Summary!$G$5:$G$6,$D$3),$D$3)*0.1,IFERROR(_xludf.XLOOKUP($E85,Product_Summary!$A$5:$A$32,Product_Summary!$G$5:$G$32,$D$3),$D$3)*0.3,IFERROR(_xludf.XLOOKUP($F85,Account_Summary!$A$5:$A$198,Account_Summary!$G$5:$G$198,$D$3),$D$3)*0.3))</f>
        <v/>
      </c>
      <c r="M85" s="17" t="str">
        <f>IF($K85="","",_xludf.IFS($K85&gt;=0.55,"Very High",$K85&gt;=0.45,"High",$K85&gt;=0.35,"Moderate",TRUE,"Low"))</f>
        <v/>
      </c>
      <c r="N85" s="18" t="str">
        <f>IF($K85="","",_xludf.IFS($K85&gt;=0.55,"Adopt smoothing by default; phase forecast over expected days and test P75/P90 sensitivity.",$K85&gt;=0.45,"Model a smoothing scenario; use expected spread days in forecast.",$K85&gt;=0.35,"Flag for commercial review; apply light smoothing if project-specific evidence supports it.",TRUE,"No default smoothing; assume short/same-day spread unless contract/customer evidence changes."))</f>
        <v/>
      </c>
    </row>
    <row r="86" spans="1:14" ht="10" customHeight="1" x14ac:dyDescent="0.35">
      <c r="A86" s="16"/>
      <c r="B86" s="17"/>
      <c r="C86" s="17"/>
      <c r="D86" s="17"/>
      <c r="E86" s="17"/>
      <c r="F86" s="17"/>
      <c r="G86" s="24" t="str">
        <f>IF($C86="","",IFERROR(_xludf.XLOOKUP($C86,Category_Summary!$A$5:$A$18,Category_Summary!$F$5:$F$18,$B$3),$B$3))</f>
        <v/>
      </c>
      <c r="H86" s="24" t="str">
        <f>IF($D86="","",IFERROR(_xludf.XLOOKUP($D86,Type_Summary!$A$5:$A$6,Type_Summary!$F$5:$F$6,$B$3),$B$3))</f>
        <v/>
      </c>
      <c r="I86" s="24" t="str">
        <f>IF($E86="","",IFERROR(_xludf.XLOOKUP($E86,Product_Summary!$A$5:$A$32,Product_Summary!$F$5:$F$32,$B$3),$B$3))</f>
        <v/>
      </c>
      <c r="J86" s="24" t="str">
        <f>IF($F86="","",IFERROR(_xludf.XLOOKUP($F86,Account_Summary!$A$5:$A$198,Account_Summary!$F$5:$F$198,$B$3),$B$3))</f>
        <v/>
      </c>
      <c r="K86" s="24" t="str">
        <f t="shared" si="2"/>
        <v/>
      </c>
      <c r="L86" s="25" t="str">
        <f>IF(LEN(TRIM($C86&amp;$D86&amp;$E86&amp;$F86))=0,"",SUM(IFERROR(_xludf.XLOOKUP($C86,Category_Summary!$A$5:$A$18,Category_Summary!$G$5:$G$18,$D$3),$D$3)*0.3,IFERROR(_xludf.XLOOKUP($D86,Type_Summary!$A$5:$A$6,Type_Summary!$G$5:$G$6,$D$3),$D$3)*0.1,IFERROR(_xludf.XLOOKUP($E86,Product_Summary!$A$5:$A$32,Product_Summary!$G$5:$G$32,$D$3),$D$3)*0.3,IFERROR(_xludf.XLOOKUP($F86,Account_Summary!$A$5:$A$198,Account_Summary!$G$5:$G$198,$D$3),$D$3)*0.3))</f>
        <v/>
      </c>
      <c r="M86" s="17" t="str">
        <f>IF($K86="","",_xludf.IFS($K86&gt;=0.55,"Very High",$K86&gt;=0.45,"High",$K86&gt;=0.35,"Moderate",TRUE,"Low"))</f>
        <v/>
      </c>
      <c r="N86" s="18" t="str">
        <f>IF($K86="","",_xludf.IFS($K86&gt;=0.55,"Adopt smoothing by default; phase forecast over expected days and test P75/P90 sensitivity.",$K86&gt;=0.45,"Model a smoothing scenario; use expected spread days in forecast.",$K86&gt;=0.35,"Flag for commercial review; apply light smoothing if project-specific evidence supports it.",TRUE,"No default smoothing; assume short/same-day spread unless contract/customer evidence changes."))</f>
        <v/>
      </c>
    </row>
    <row r="87" spans="1:14" ht="10" customHeight="1" x14ac:dyDescent="0.35">
      <c r="A87" s="16"/>
      <c r="B87" s="17"/>
      <c r="C87" s="17"/>
      <c r="D87" s="17"/>
      <c r="E87" s="17"/>
      <c r="F87" s="17"/>
      <c r="G87" s="24" t="str">
        <f>IF($C87="","",IFERROR(_xludf.XLOOKUP($C87,Category_Summary!$A$5:$A$18,Category_Summary!$F$5:$F$18,$B$3),$B$3))</f>
        <v/>
      </c>
      <c r="H87" s="24" t="str">
        <f>IF($D87="","",IFERROR(_xludf.XLOOKUP($D87,Type_Summary!$A$5:$A$6,Type_Summary!$F$5:$F$6,$B$3),$B$3))</f>
        <v/>
      </c>
      <c r="I87" s="24" t="str">
        <f>IF($E87="","",IFERROR(_xludf.XLOOKUP($E87,Product_Summary!$A$5:$A$32,Product_Summary!$F$5:$F$32,$B$3),$B$3))</f>
        <v/>
      </c>
      <c r="J87" s="24" t="str">
        <f>IF($F87="","",IFERROR(_xludf.XLOOKUP($F87,Account_Summary!$A$5:$A$198,Account_Summary!$F$5:$F$198,$B$3),$B$3))</f>
        <v/>
      </c>
      <c r="K87" s="24" t="str">
        <f t="shared" si="2"/>
        <v/>
      </c>
      <c r="L87" s="25" t="str">
        <f>IF(LEN(TRIM($C87&amp;$D87&amp;$E87&amp;$F87))=0,"",SUM(IFERROR(_xludf.XLOOKUP($C87,Category_Summary!$A$5:$A$18,Category_Summary!$G$5:$G$18,$D$3),$D$3)*0.3,IFERROR(_xludf.XLOOKUP($D87,Type_Summary!$A$5:$A$6,Type_Summary!$G$5:$G$6,$D$3),$D$3)*0.1,IFERROR(_xludf.XLOOKUP($E87,Product_Summary!$A$5:$A$32,Product_Summary!$G$5:$G$32,$D$3),$D$3)*0.3,IFERROR(_xludf.XLOOKUP($F87,Account_Summary!$A$5:$A$198,Account_Summary!$G$5:$G$198,$D$3),$D$3)*0.3))</f>
        <v/>
      </c>
      <c r="M87" s="17" t="str">
        <f>IF($K87="","",_xludf.IFS($K87&gt;=0.55,"Very High",$K87&gt;=0.45,"High",$K87&gt;=0.35,"Moderate",TRUE,"Low"))</f>
        <v/>
      </c>
      <c r="N87" s="18" t="str">
        <f>IF($K87="","",_xludf.IFS($K87&gt;=0.55,"Adopt smoothing by default; phase forecast over expected days and test P75/P90 sensitivity.",$K87&gt;=0.45,"Model a smoothing scenario; use expected spread days in forecast.",$K87&gt;=0.35,"Flag for commercial review; apply light smoothing if project-specific evidence supports it.",TRUE,"No default smoothing; assume short/same-day spread unless contract/customer evidence changes."))</f>
        <v/>
      </c>
    </row>
    <row r="88" spans="1:14" ht="10" customHeight="1" x14ac:dyDescent="0.35">
      <c r="A88" s="16"/>
      <c r="B88" s="17"/>
      <c r="C88" s="17"/>
      <c r="D88" s="17"/>
      <c r="E88" s="17"/>
      <c r="F88" s="17"/>
      <c r="G88" s="24" t="str">
        <f>IF($C88="","",IFERROR(_xludf.XLOOKUP($C88,Category_Summary!$A$5:$A$18,Category_Summary!$F$5:$F$18,$B$3),$B$3))</f>
        <v/>
      </c>
      <c r="H88" s="24" t="str">
        <f>IF($D88="","",IFERROR(_xludf.XLOOKUP($D88,Type_Summary!$A$5:$A$6,Type_Summary!$F$5:$F$6,$B$3),$B$3))</f>
        <v/>
      </c>
      <c r="I88" s="24" t="str">
        <f>IF($E88="","",IFERROR(_xludf.XLOOKUP($E88,Product_Summary!$A$5:$A$32,Product_Summary!$F$5:$F$32,$B$3),$B$3))</f>
        <v/>
      </c>
      <c r="J88" s="24" t="str">
        <f>IF($F88="","",IFERROR(_xludf.XLOOKUP($F88,Account_Summary!$A$5:$A$198,Account_Summary!$F$5:$F$198,$B$3),$B$3))</f>
        <v/>
      </c>
      <c r="K88" s="24" t="str">
        <f t="shared" si="2"/>
        <v/>
      </c>
      <c r="L88" s="25" t="str">
        <f>IF(LEN(TRIM($C88&amp;$D88&amp;$E88&amp;$F88))=0,"",SUM(IFERROR(_xludf.XLOOKUP($C88,Category_Summary!$A$5:$A$18,Category_Summary!$G$5:$G$18,$D$3),$D$3)*0.3,IFERROR(_xludf.XLOOKUP($D88,Type_Summary!$A$5:$A$6,Type_Summary!$G$5:$G$6,$D$3),$D$3)*0.1,IFERROR(_xludf.XLOOKUP($E88,Product_Summary!$A$5:$A$32,Product_Summary!$G$5:$G$32,$D$3),$D$3)*0.3,IFERROR(_xludf.XLOOKUP($F88,Account_Summary!$A$5:$A$198,Account_Summary!$G$5:$G$198,$D$3),$D$3)*0.3))</f>
        <v/>
      </c>
      <c r="M88" s="17" t="str">
        <f>IF($K88="","",_xludf.IFS($K88&gt;=0.55,"Very High",$K88&gt;=0.45,"High",$K88&gt;=0.35,"Moderate",TRUE,"Low"))</f>
        <v/>
      </c>
      <c r="N88" s="18" t="str">
        <f>IF($K88="","",_xludf.IFS($K88&gt;=0.55,"Adopt smoothing by default; phase forecast over expected days and test P75/P90 sensitivity.",$K88&gt;=0.45,"Model a smoothing scenario; use expected spread days in forecast.",$K88&gt;=0.35,"Flag for commercial review; apply light smoothing if project-specific evidence supports it.",TRUE,"No default smoothing; assume short/same-day spread unless contract/customer evidence changes."))</f>
        <v/>
      </c>
    </row>
    <row r="89" spans="1:14" ht="10" customHeight="1" x14ac:dyDescent="0.35">
      <c r="A89" s="16"/>
      <c r="B89" s="17"/>
      <c r="C89" s="17"/>
      <c r="D89" s="17"/>
      <c r="E89" s="17"/>
      <c r="F89" s="17"/>
      <c r="G89" s="24" t="str">
        <f>IF($C89="","",IFERROR(_xludf.XLOOKUP($C89,Category_Summary!$A$5:$A$18,Category_Summary!$F$5:$F$18,$B$3),$B$3))</f>
        <v/>
      </c>
      <c r="H89" s="24" t="str">
        <f>IF($D89="","",IFERROR(_xludf.XLOOKUP($D89,Type_Summary!$A$5:$A$6,Type_Summary!$F$5:$F$6,$B$3),$B$3))</f>
        <v/>
      </c>
      <c r="I89" s="24" t="str">
        <f>IF($E89="","",IFERROR(_xludf.XLOOKUP($E89,Product_Summary!$A$5:$A$32,Product_Summary!$F$5:$F$32,$B$3),$B$3))</f>
        <v/>
      </c>
      <c r="J89" s="24" t="str">
        <f>IF($F89="","",IFERROR(_xludf.XLOOKUP($F89,Account_Summary!$A$5:$A$198,Account_Summary!$F$5:$F$198,$B$3),$B$3))</f>
        <v/>
      </c>
      <c r="K89" s="24" t="str">
        <f t="shared" si="2"/>
        <v/>
      </c>
      <c r="L89" s="25" t="str">
        <f>IF(LEN(TRIM($C89&amp;$D89&amp;$E89&amp;$F89))=0,"",SUM(IFERROR(_xludf.XLOOKUP($C89,Category_Summary!$A$5:$A$18,Category_Summary!$G$5:$G$18,$D$3),$D$3)*0.3,IFERROR(_xludf.XLOOKUP($D89,Type_Summary!$A$5:$A$6,Type_Summary!$G$5:$G$6,$D$3),$D$3)*0.1,IFERROR(_xludf.XLOOKUP($E89,Product_Summary!$A$5:$A$32,Product_Summary!$G$5:$G$32,$D$3),$D$3)*0.3,IFERROR(_xludf.XLOOKUP($F89,Account_Summary!$A$5:$A$198,Account_Summary!$G$5:$G$198,$D$3),$D$3)*0.3))</f>
        <v/>
      </c>
      <c r="M89" s="17" t="str">
        <f>IF($K89="","",_xludf.IFS($K89&gt;=0.55,"Very High",$K89&gt;=0.45,"High",$K89&gt;=0.35,"Moderate",TRUE,"Low"))</f>
        <v/>
      </c>
      <c r="N89" s="18" t="str">
        <f>IF($K89="","",_xludf.IFS($K89&gt;=0.55,"Adopt smoothing by default; phase forecast over expected days and test P75/P90 sensitivity.",$K89&gt;=0.45,"Model a smoothing scenario; use expected spread days in forecast.",$K89&gt;=0.35,"Flag for commercial review; apply light smoothing if project-specific evidence supports it.",TRUE,"No default smoothing; assume short/same-day spread unless contract/customer evidence changes."))</f>
        <v/>
      </c>
    </row>
    <row r="90" spans="1:14" ht="10" customHeight="1" x14ac:dyDescent="0.35">
      <c r="A90" s="16"/>
      <c r="B90" s="17"/>
      <c r="C90" s="17"/>
      <c r="D90" s="17"/>
      <c r="E90" s="17"/>
      <c r="F90" s="17"/>
      <c r="G90" s="24" t="str">
        <f>IF($C90="","",IFERROR(_xludf.XLOOKUP($C90,Category_Summary!$A$5:$A$18,Category_Summary!$F$5:$F$18,$B$3),$B$3))</f>
        <v/>
      </c>
      <c r="H90" s="24" t="str">
        <f>IF($D90="","",IFERROR(_xludf.XLOOKUP($D90,Type_Summary!$A$5:$A$6,Type_Summary!$F$5:$F$6,$B$3),$B$3))</f>
        <v/>
      </c>
      <c r="I90" s="24" t="str">
        <f>IF($E90="","",IFERROR(_xludf.XLOOKUP($E90,Product_Summary!$A$5:$A$32,Product_Summary!$F$5:$F$32,$B$3),$B$3))</f>
        <v/>
      </c>
      <c r="J90" s="24" t="str">
        <f>IF($F90="","",IFERROR(_xludf.XLOOKUP($F90,Account_Summary!$A$5:$A$198,Account_Summary!$F$5:$F$198,$B$3),$B$3))</f>
        <v/>
      </c>
      <c r="K90" s="24" t="str">
        <f t="shared" si="2"/>
        <v/>
      </c>
      <c r="L90" s="25" t="str">
        <f>IF(LEN(TRIM($C90&amp;$D90&amp;$E90&amp;$F90))=0,"",SUM(IFERROR(_xludf.XLOOKUP($C90,Category_Summary!$A$5:$A$18,Category_Summary!$G$5:$G$18,$D$3),$D$3)*0.3,IFERROR(_xludf.XLOOKUP($D90,Type_Summary!$A$5:$A$6,Type_Summary!$G$5:$G$6,$D$3),$D$3)*0.1,IFERROR(_xludf.XLOOKUP($E90,Product_Summary!$A$5:$A$32,Product_Summary!$G$5:$G$32,$D$3),$D$3)*0.3,IFERROR(_xludf.XLOOKUP($F90,Account_Summary!$A$5:$A$198,Account_Summary!$G$5:$G$198,$D$3),$D$3)*0.3))</f>
        <v/>
      </c>
      <c r="M90" s="17" t="str">
        <f>IF($K90="","",_xludf.IFS($K90&gt;=0.55,"Very High",$K90&gt;=0.45,"High",$K90&gt;=0.35,"Moderate",TRUE,"Low"))</f>
        <v/>
      </c>
      <c r="N90" s="18" t="str">
        <f>IF($K90="","",_xludf.IFS($K90&gt;=0.55,"Adopt smoothing by default; phase forecast over expected days and test P75/P90 sensitivity.",$K90&gt;=0.45,"Model a smoothing scenario; use expected spread days in forecast.",$K90&gt;=0.35,"Flag for commercial review; apply light smoothing if project-specific evidence supports it.",TRUE,"No default smoothing; assume short/same-day spread unless contract/customer evidence changes."))</f>
        <v/>
      </c>
    </row>
    <row r="91" spans="1:14" ht="10" customHeight="1" x14ac:dyDescent="0.35">
      <c r="A91" s="16"/>
      <c r="B91" s="17"/>
      <c r="C91" s="17"/>
      <c r="D91" s="17"/>
      <c r="E91" s="17"/>
      <c r="F91" s="17"/>
      <c r="G91" s="24" t="str">
        <f>IF($C91="","",IFERROR(_xludf.XLOOKUP($C91,Category_Summary!$A$5:$A$18,Category_Summary!$F$5:$F$18,$B$3),$B$3))</f>
        <v/>
      </c>
      <c r="H91" s="24" t="str">
        <f>IF($D91="","",IFERROR(_xludf.XLOOKUP($D91,Type_Summary!$A$5:$A$6,Type_Summary!$F$5:$F$6,$B$3),$B$3))</f>
        <v/>
      </c>
      <c r="I91" s="24" t="str">
        <f>IF($E91="","",IFERROR(_xludf.XLOOKUP($E91,Product_Summary!$A$5:$A$32,Product_Summary!$F$5:$F$32,$B$3),$B$3))</f>
        <v/>
      </c>
      <c r="J91" s="24" t="str">
        <f>IF($F91="","",IFERROR(_xludf.XLOOKUP($F91,Account_Summary!$A$5:$A$198,Account_Summary!$F$5:$F$198,$B$3),$B$3))</f>
        <v/>
      </c>
      <c r="K91" s="24" t="str">
        <f t="shared" si="2"/>
        <v/>
      </c>
      <c r="L91" s="25" t="str">
        <f>IF(LEN(TRIM($C91&amp;$D91&amp;$E91&amp;$F91))=0,"",SUM(IFERROR(_xludf.XLOOKUP($C91,Category_Summary!$A$5:$A$18,Category_Summary!$G$5:$G$18,$D$3),$D$3)*0.3,IFERROR(_xludf.XLOOKUP($D91,Type_Summary!$A$5:$A$6,Type_Summary!$G$5:$G$6,$D$3),$D$3)*0.1,IFERROR(_xludf.XLOOKUP($E91,Product_Summary!$A$5:$A$32,Product_Summary!$G$5:$G$32,$D$3),$D$3)*0.3,IFERROR(_xludf.XLOOKUP($F91,Account_Summary!$A$5:$A$198,Account_Summary!$G$5:$G$198,$D$3),$D$3)*0.3))</f>
        <v/>
      </c>
      <c r="M91" s="17" t="str">
        <f>IF($K91="","",_xludf.IFS($K91&gt;=0.55,"Very High",$K91&gt;=0.45,"High",$K91&gt;=0.35,"Moderate",TRUE,"Low"))</f>
        <v/>
      </c>
      <c r="N91" s="18" t="str">
        <f>IF($K91="","",_xludf.IFS($K91&gt;=0.55,"Adopt smoothing by default; phase forecast over expected days and test P75/P90 sensitivity.",$K91&gt;=0.45,"Model a smoothing scenario; use expected spread days in forecast.",$K91&gt;=0.35,"Flag for commercial review; apply light smoothing if project-specific evidence supports it.",TRUE,"No default smoothing; assume short/same-day spread unless contract/customer evidence changes."))</f>
        <v/>
      </c>
    </row>
    <row r="92" spans="1:14" ht="10" customHeight="1" x14ac:dyDescent="0.35">
      <c r="A92" s="16"/>
      <c r="B92" s="17"/>
      <c r="C92" s="17"/>
      <c r="D92" s="17"/>
      <c r="E92" s="17"/>
      <c r="F92" s="17"/>
      <c r="G92" s="24" t="str">
        <f>IF($C92="","",IFERROR(_xludf.XLOOKUP($C92,Category_Summary!$A$5:$A$18,Category_Summary!$F$5:$F$18,$B$3),$B$3))</f>
        <v/>
      </c>
      <c r="H92" s="24" t="str">
        <f>IF($D92="","",IFERROR(_xludf.XLOOKUP($D92,Type_Summary!$A$5:$A$6,Type_Summary!$F$5:$F$6,$B$3),$B$3))</f>
        <v/>
      </c>
      <c r="I92" s="24" t="str">
        <f>IF($E92="","",IFERROR(_xludf.XLOOKUP($E92,Product_Summary!$A$5:$A$32,Product_Summary!$F$5:$F$32,$B$3),$B$3))</f>
        <v/>
      </c>
      <c r="J92" s="24" t="str">
        <f>IF($F92="","",IFERROR(_xludf.XLOOKUP($F92,Account_Summary!$A$5:$A$198,Account_Summary!$F$5:$F$198,$B$3),$B$3))</f>
        <v/>
      </c>
      <c r="K92" s="24" t="str">
        <f t="shared" si="2"/>
        <v/>
      </c>
      <c r="L92" s="25" t="str">
        <f>IF(LEN(TRIM($C92&amp;$D92&amp;$E92&amp;$F92))=0,"",SUM(IFERROR(_xludf.XLOOKUP($C92,Category_Summary!$A$5:$A$18,Category_Summary!$G$5:$G$18,$D$3),$D$3)*0.3,IFERROR(_xludf.XLOOKUP($D92,Type_Summary!$A$5:$A$6,Type_Summary!$G$5:$G$6,$D$3),$D$3)*0.1,IFERROR(_xludf.XLOOKUP($E92,Product_Summary!$A$5:$A$32,Product_Summary!$G$5:$G$32,$D$3),$D$3)*0.3,IFERROR(_xludf.XLOOKUP($F92,Account_Summary!$A$5:$A$198,Account_Summary!$G$5:$G$198,$D$3),$D$3)*0.3))</f>
        <v/>
      </c>
      <c r="M92" s="17" t="str">
        <f>IF($K92="","",_xludf.IFS($K92&gt;=0.55,"Very High",$K92&gt;=0.45,"High",$K92&gt;=0.35,"Moderate",TRUE,"Low"))</f>
        <v/>
      </c>
      <c r="N92" s="18" t="str">
        <f>IF($K92="","",_xludf.IFS($K92&gt;=0.55,"Adopt smoothing by default; phase forecast over expected days and test P75/P90 sensitivity.",$K92&gt;=0.45,"Model a smoothing scenario; use expected spread days in forecast.",$K92&gt;=0.35,"Flag for commercial review; apply light smoothing if project-specific evidence supports it.",TRUE,"No default smoothing; assume short/same-day spread unless contract/customer evidence changes."))</f>
        <v/>
      </c>
    </row>
    <row r="93" spans="1:14" ht="10" customHeight="1" x14ac:dyDescent="0.35">
      <c r="A93" s="16"/>
      <c r="B93" s="17"/>
      <c r="C93" s="17"/>
      <c r="D93" s="17"/>
      <c r="E93" s="17"/>
      <c r="F93" s="17"/>
      <c r="G93" s="24" t="str">
        <f>IF($C93="","",IFERROR(_xludf.XLOOKUP($C93,Category_Summary!$A$5:$A$18,Category_Summary!$F$5:$F$18,$B$3),$B$3))</f>
        <v/>
      </c>
      <c r="H93" s="24" t="str">
        <f>IF($D93="","",IFERROR(_xludf.XLOOKUP($D93,Type_Summary!$A$5:$A$6,Type_Summary!$F$5:$F$6,$B$3),$B$3))</f>
        <v/>
      </c>
      <c r="I93" s="24" t="str">
        <f>IF($E93="","",IFERROR(_xludf.XLOOKUP($E93,Product_Summary!$A$5:$A$32,Product_Summary!$F$5:$F$32,$B$3),$B$3))</f>
        <v/>
      </c>
      <c r="J93" s="24" t="str">
        <f>IF($F93="","",IFERROR(_xludf.XLOOKUP($F93,Account_Summary!$A$5:$A$198,Account_Summary!$F$5:$F$198,$B$3),$B$3))</f>
        <v/>
      </c>
      <c r="K93" s="24" t="str">
        <f t="shared" si="2"/>
        <v/>
      </c>
      <c r="L93" s="25" t="str">
        <f>IF(LEN(TRIM($C93&amp;$D93&amp;$E93&amp;$F93))=0,"",SUM(IFERROR(_xludf.XLOOKUP($C93,Category_Summary!$A$5:$A$18,Category_Summary!$G$5:$G$18,$D$3),$D$3)*0.3,IFERROR(_xludf.XLOOKUP($D93,Type_Summary!$A$5:$A$6,Type_Summary!$G$5:$G$6,$D$3),$D$3)*0.1,IFERROR(_xludf.XLOOKUP($E93,Product_Summary!$A$5:$A$32,Product_Summary!$G$5:$G$32,$D$3),$D$3)*0.3,IFERROR(_xludf.XLOOKUP($F93,Account_Summary!$A$5:$A$198,Account_Summary!$G$5:$G$198,$D$3),$D$3)*0.3))</f>
        <v/>
      </c>
      <c r="M93" s="17" t="str">
        <f>IF($K93="","",_xludf.IFS($K93&gt;=0.55,"Very High",$K93&gt;=0.45,"High",$K93&gt;=0.35,"Moderate",TRUE,"Low"))</f>
        <v/>
      </c>
      <c r="N93" s="18" t="str">
        <f>IF($K93="","",_xludf.IFS($K93&gt;=0.55,"Adopt smoothing by default; phase forecast over expected days and test P75/P90 sensitivity.",$K93&gt;=0.45,"Model a smoothing scenario; use expected spread days in forecast.",$K93&gt;=0.35,"Flag for commercial review; apply light smoothing if project-specific evidence supports it.",TRUE,"No default smoothing; assume short/same-day spread unless contract/customer evidence changes."))</f>
        <v/>
      </c>
    </row>
    <row r="94" spans="1:14" ht="10" customHeight="1" x14ac:dyDescent="0.35">
      <c r="A94" s="16"/>
      <c r="B94" s="17"/>
      <c r="C94" s="17"/>
      <c r="D94" s="17"/>
      <c r="E94" s="17"/>
      <c r="F94" s="17"/>
      <c r="G94" s="24" t="str">
        <f>IF($C94="","",IFERROR(_xludf.XLOOKUP($C94,Category_Summary!$A$5:$A$18,Category_Summary!$F$5:$F$18,$B$3),$B$3))</f>
        <v/>
      </c>
      <c r="H94" s="24" t="str">
        <f>IF($D94="","",IFERROR(_xludf.XLOOKUP($D94,Type_Summary!$A$5:$A$6,Type_Summary!$F$5:$F$6,$B$3),$B$3))</f>
        <v/>
      </c>
      <c r="I94" s="24" t="str">
        <f>IF($E94="","",IFERROR(_xludf.XLOOKUP($E94,Product_Summary!$A$5:$A$32,Product_Summary!$F$5:$F$32,$B$3),$B$3))</f>
        <v/>
      </c>
      <c r="J94" s="24" t="str">
        <f>IF($F94="","",IFERROR(_xludf.XLOOKUP($F94,Account_Summary!$A$5:$A$198,Account_Summary!$F$5:$F$198,$B$3),$B$3))</f>
        <v/>
      </c>
      <c r="K94" s="24" t="str">
        <f t="shared" si="2"/>
        <v/>
      </c>
      <c r="L94" s="25" t="str">
        <f>IF(LEN(TRIM($C94&amp;$D94&amp;$E94&amp;$F94))=0,"",SUM(IFERROR(_xludf.XLOOKUP($C94,Category_Summary!$A$5:$A$18,Category_Summary!$G$5:$G$18,$D$3),$D$3)*0.3,IFERROR(_xludf.XLOOKUP($D94,Type_Summary!$A$5:$A$6,Type_Summary!$G$5:$G$6,$D$3),$D$3)*0.1,IFERROR(_xludf.XLOOKUP($E94,Product_Summary!$A$5:$A$32,Product_Summary!$G$5:$G$32,$D$3),$D$3)*0.3,IFERROR(_xludf.XLOOKUP($F94,Account_Summary!$A$5:$A$198,Account_Summary!$G$5:$G$198,$D$3),$D$3)*0.3))</f>
        <v/>
      </c>
      <c r="M94" s="17" t="str">
        <f>IF($K94="","",_xludf.IFS($K94&gt;=0.55,"Very High",$K94&gt;=0.45,"High",$K94&gt;=0.35,"Moderate",TRUE,"Low"))</f>
        <v/>
      </c>
      <c r="N94" s="18" t="str">
        <f>IF($K94="","",_xludf.IFS($K94&gt;=0.55,"Adopt smoothing by default; phase forecast over expected days and test P75/P90 sensitivity.",$K94&gt;=0.45,"Model a smoothing scenario; use expected spread days in forecast.",$K94&gt;=0.35,"Flag for commercial review; apply light smoothing if project-specific evidence supports it.",TRUE,"No default smoothing; assume short/same-day spread unless contract/customer evidence changes."))</f>
        <v/>
      </c>
    </row>
    <row r="95" spans="1:14" ht="10" customHeight="1" x14ac:dyDescent="0.35">
      <c r="A95" s="16"/>
      <c r="B95" s="17"/>
      <c r="C95" s="17"/>
      <c r="D95" s="17"/>
      <c r="E95" s="17"/>
      <c r="F95" s="17"/>
      <c r="G95" s="24" t="str">
        <f>IF($C95="","",IFERROR(_xludf.XLOOKUP($C95,Category_Summary!$A$5:$A$18,Category_Summary!$F$5:$F$18,$B$3),$B$3))</f>
        <v/>
      </c>
      <c r="H95" s="24" t="str">
        <f>IF($D95="","",IFERROR(_xludf.XLOOKUP($D95,Type_Summary!$A$5:$A$6,Type_Summary!$F$5:$F$6,$B$3),$B$3))</f>
        <v/>
      </c>
      <c r="I95" s="24" t="str">
        <f>IF($E95="","",IFERROR(_xludf.XLOOKUP($E95,Product_Summary!$A$5:$A$32,Product_Summary!$F$5:$F$32,$B$3),$B$3))</f>
        <v/>
      </c>
      <c r="J95" s="24" t="str">
        <f>IF($F95="","",IFERROR(_xludf.XLOOKUP($F95,Account_Summary!$A$5:$A$198,Account_Summary!$F$5:$F$198,$B$3),$B$3))</f>
        <v/>
      </c>
      <c r="K95" s="24" t="str">
        <f t="shared" si="2"/>
        <v/>
      </c>
      <c r="L95" s="25" t="str">
        <f>IF(LEN(TRIM($C95&amp;$D95&amp;$E95&amp;$F95))=0,"",SUM(IFERROR(_xludf.XLOOKUP($C95,Category_Summary!$A$5:$A$18,Category_Summary!$G$5:$G$18,$D$3),$D$3)*0.3,IFERROR(_xludf.XLOOKUP($D95,Type_Summary!$A$5:$A$6,Type_Summary!$G$5:$G$6,$D$3),$D$3)*0.1,IFERROR(_xludf.XLOOKUP($E95,Product_Summary!$A$5:$A$32,Product_Summary!$G$5:$G$32,$D$3),$D$3)*0.3,IFERROR(_xludf.XLOOKUP($F95,Account_Summary!$A$5:$A$198,Account_Summary!$G$5:$G$198,$D$3),$D$3)*0.3))</f>
        <v/>
      </c>
      <c r="M95" s="17" t="str">
        <f>IF($K95="","",_xludf.IFS($K95&gt;=0.55,"Very High",$K95&gt;=0.45,"High",$K95&gt;=0.35,"Moderate",TRUE,"Low"))</f>
        <v/>
      </c>
      <c r="N95" s="18" t="str">
        <f>IF($K95="","",_xludf.IFS($K95&gt;=0.55,"Adopt smoothing by default; phase forecast over expected days and test P75/P90 sensitivity.",$K95&gt;=0.45,"Model a smoothing scenario; use expected spread days in forecast.",$K95&gt;=0.35,"Flag for commercial review; apply light smoothing if project-specific evidence supports it.",TRUE,"No default smoothing; assume short/same-day spread unless contract/customer evidence changes."))</f>
        <v/>
      </c>
    </row>
    <row r="96" spans="1:14" ht="10" customHeight="1" x14ac:dyDescent="0.35">
      <c r="A96" s="16"/>
      <c r="B96" s="17"/>
      <c r="C96" s="17"/>
      <c r="D96" s="17"/>
      <c r="E96" s="17"/>
      <c r="F96" s="17"/>
      <c r="G96" s="24" t="str">
        <f>IF($C96="","",IFERROR(_xludf.XLOOKUP($C96,Category_Summary!$A$5:$A$18,Category_Summary!$F$5:$F$18,$B$3),$B$3))</f>
        <v/>
      </c>
      <c r="H96" s="24" t="str">
        <f>IF($D96="","",IFERROR(_xludf.XLOOKUP($D96,Type_Summary!$A$5:$A$6,Type_Summary!$F$5:$F$6,$B$3),$B$3))</f>
        <v/>
      </c>
      <c r="I96" s="24" t="str">
        <f>IF($E96="","",IFERROR(_xludf.XLOOKUP($E96,Product_Summary!$A$5:$A$32,Product_Summary!$F$5:$F$32,$B$3),$B$3))</f>
        <v/>
      </c>
      <c r="J96" s="24" t="str">
        <f>IF($F96="","",IFERROR(_xludf.XLOOKUP($F96,Account_Summary!$A$5:$A$198,Account_Summary!$F$5:$F$198,$B$3),$B$3))</f>
        <v/>
      </c>
      <c r="K96" s="24" t="str">
        <f t="shared" si="2"/>
        <v/>
      </c>
      <c r="L96" s="25" t="str">
        <f>IF(LEN(TRIM($C96&amp;$D96&amp;$E96&amp;$F96))=0,"",SUM(IFERROR(_xludf.XLOOKUP($C96,Category_Summary!$A$5:$A$18,Category_Summary!$G$5:$G$18,$D$3),$D$3)*0.3,IFERROR(_xludf.XLOOKUP($D96,Type_Summary!$A$5:$A$6,Type_Summary!$G$5:$G$6,$D$3),$D$3)*0.1,IFERROR(_xludf.XLOOKUP($E96,Product_Summary!$A$5:$A$32,Product_Summary!$G$5:$G$32,$D$3),$D$3)*0.3,IFERROR(_xludf.XLOOKUP($F96,Account_Summary!$A$5:$A$198,Account_Summary!$G$5:$G$198,$D$3),$D$3)*0.3))</f>
        <v/>
      </c>
      <c r="M96" s="17" t="str">
        <f>IF($K96="","",_xludf.IFS($K96&gt;=0.55,"Very High",$K96&gt;=0.45,"High",$K96&gt;=0.35,"Moderate",TRUE,"Low"))</f>
        <v/>
      </c>
      <c r="N96" s="18" t="str">
        <f>IF($K96="","",_xludf.IFS($K96&gt;=0.55,"Adopt smoothing by default; phase forecast over expected days and test P75/P90 sensitivity.",$K96&gt;=0.45,"Model a smoothing scenario; use expected spread days in forecast.",$K96&gt;=0.35,"Flag for commercial review; apply light smoothing if project-specific evidence supports it.",TRUE,"No default smoothing; assume short/same-day spread unless contract/customer evidence changes."))</f>
        <v/>
      </c>
    </row>
    <row r="97" spans="1:14" ht="10" customHeight="1" x14ac:dyDescent="0.35">
      <c r="A97" s="16"/>
      <c r="B97" s="17"/>
      <c r="C97" s="17"/>
      <c r="D97" s="17"/>
      <c r="E97" s="17"/>
      <c r="F97" s="17"/>
      <c r="G97" s="24" t="str">
        <f>IF($C97="","",IFERROR(_xludf.XLOOKUP($C97,Category_Summary!$A$5:$A$18,Category_Summary!$F$5:$F$18,$B$3),$B$3))</f>
        <v/>
      </c>
      <c r="H97" s="24" t="str">
        <f>IF($D97="","",IFERROR(_xludf.XLOOKUP($D97,Type_Summary!$A$5:$A$6,Type_Summary!$F$5:$F$6,$B$3),$B$3))</f>
        <v/>
      </c>
      <c r="I97" s="24" t="str">
        <f>IF($E97="","",IFERROR(_xludf.XLOOKUP($E97,Product_Summary!$A$5:$A$32,Product_Summary!$F$5:$F$32,$B$3),$B$3))</f>
        <v/>
      </c>
      <c r="J97" s="24" t="str">
        <f>IF($F97="","",IFERROR(_xludf.XLOOKUP($F97,Account_Summary!$A$5:$A$198,Account_Summary!$F$5:$F$198,$B$3),$B$3))</f>
        <v/>
      </c>
      <c r="K97" s="24" t="str">
        <f t="shared" si="2"/>
        <v/>
      </c>
      <c r="L97" s="25" t="str">
        <f>IF(LEN(TRIM($C97&amp;$D97&amp;$E97&amp;$F97))=0,"",SUM(IFERROR(_xludf.XLOOKUP($C97,Category_Summary!$A$5:$A$18,Category_Summary!$G$5:$G$18,$D$3),$D$3)*0.3,IFERROR(_xludf.XLOOKUP($D97,Type_Summary!$A$5:$A$6,Type_Summary!$G$5:$G$6,$D$3),$D$3)*0.1,IFERROR(_xludf.XLOOKUP($E97,Product_Summary!$A$5:$A$32,Product_Summary!$G$5:$G$32,$D$3),$D$3)*0.3,IFERROR(_xludf.XLOOKUP($F97,Account_Summary!$A$5:$A$198,Account_Summary!$G$5:$G$198,$D$3),$D$3)*0.3))</f>
        <v/>
      </c>
      <c r="M97" s="17" t="str">
        <f>IF($K97="","",_xludf.IFS($K97&gt;=0.55,"Very High",$K97&gt;=0.45,"High",$K97&gt;=0.35,"Moderate",TRUE,"Low"))</f>
        <v/>
      </c>
      <c r="N97" s="18" t="str">
        <f>IF($K97="","",_xludf.IFS($K97&gt;=0.55,"Adopt smoothing by default; phase forecast over expected days and test P75/P90 sensitivity.",$K97&gt;=0.45,"Model a smoothing scenario; use expected spread days in forecast.",$K97&gt;=0.35,"Flag for commercial review; apply light smoothing if project-specific evidence supports it.",TRUE,"No default smoothing; assume short/same-day spread unless contract/customer evidence changes."))</f>
        <v/>
      </c>
    </row>
    <row r="98" spans="1:14" ht="10" customHeight="1" x14ac:dyDescent="0.35">
      <c r="A98" s="16"/>
      <c r="B98" s="17"/>
      <c r="C98" s="17"/>
      <c r="D98" s="17"/>
      <c r="E98" s="17"/>
      <c r="F98" s="17"/>
      <c r="G98" s="24" t="str">
        <f>IF($C98="","",IFERROR(_xludf.XLOOKUP($C98,Category_Summary!$A$5:$A$18,Category_Summary!$F$5:$F$18,$B$3),$B$3))</f>
        <v/>
      </c>
      <c r="H98" s="24" t="str">
        <f>IF($D98="","",IFERROR(_xludf.XLOOKUP($D98,Type_Summary!$A$5:$A$6,Type_Summary!$F$5:$F$6,$B$3),$B$3))</f>
        <v/>
      </c>
      <c r="I98" s="24" t="str">
        <f>IF($E98="","",IFERROR(_xludf.XLOOKUP($E98,Product_Summary!$A$5:$A$32,Product_Summary!$F$5:$F$32,$B$3),$B$3))</f>
        <v/>
      </c>
      <c r="J98" s="24" t="str">
        <f>IF($F98="","",IFERROR(_xludf.XLOOKUP($F98,Account_Summary!$A$5:$A$198,Account_Summary!$F$5:$F$198,$B$3),$B$3))</f>
        <v/>
      </c>
      <c r="K98" s="24" t="str">
        <f t="shared" si="2"/>
        <v/>
      </c>
      <c r="L98" s="25" t="str">
        <f>IF(LEN(TRIM($C98&amp;$D98&amp;$E98&amp;$F98))=0,"",SUM(IFERROR(_xludf.XLOOKUP($C98,Category_Summary!$A$5:$A$18,Category_Summary!$G$5:$G$18,$D$3),$D$3)*0.3,IFERROR(_xludf.XLOOKUP($D98,Type_Summary!$A$5:$A$6,Type_Summary!$G$5:$G$6,$D$3),$D$3)*0.1,IFERROR(_xludf.XLOOKUP($E98,Product_Summary!$A$5:$A$32,Product_Summary!$G$5:$G$32,$D$3),$D$3)*0.3,IFERROR(_xludf.XLOOKUP($F98,Account_Summary!$A$5:$A$198,Account_Summary!$G$5:$G$198,$D$3),$D$3)*0.3))</f>
        <v/>
      </c>
      <c r="M98" s="17" t="str">
        <f>IF($K98="","",_xludf.IFS($K98&gt;=0.55,"Very High",$K98&gt;=0.45,"High",$K98&gt;=0.35,"Moderate",TRUE,"Low"))</f>
        <v/>
      </c>
      <c r="N98" s="18" t="str">
        <f>IF($K98="","",_xludf.IFS($K98&gt;=0.55,"Adopt smoothing by default; phase forecast over expected days and test P75/P90 sensitivity.",$K98&gt;=0.45,"Model a smoothing scenario; use expected spread days in forecast.",$K98&gt;=0.35,"Flag for commercial review; apply light smoothing if project-specific evidence supports it.",TRUE,"No default smoothing; assume short/same-day spread unless contract/customer evidence changes."))</f>
        <v/>
      </c>
    </row>
    <row r="99" spans="1:14" ht="10" customHeight="1" x14ac:dyDescent="0.35">
      <c r="A99" s="16"/>
      <c r="B99" s="17"/>
      <c r="C99" s="17"/>
      <c r="D99" s="17"/>
      <c r="E99" s="17"/>
      <c r="F99" s="17"/>
      <c r="G99" s="24" t="str">
        <f>IF($C99="","",IFERROR(_xludf.XLOOKUP($C99,Category_Summary!$A$5:$A$18,Category_Summary!$F$5:$F$18,$B$3),$B$3))</f>
        <v/>
      </c>
      <c r="H99" s="24" t="str">
        <f>IF($D99="","",IFERROR(_xludf.XLOOKUP($D99,Type_Summary!$A$5:$A$6,Type_Summary!$F$5:$F$6,$B$3),$B$3))</f>
        <v/>
      </c>
      <c r="I99" s="24" t="str">
        <f>IF($E99="","",IFERROR(_xludf.XLOOKUP($E99,Product_Summary!$A$5:$A$32,Product_Summary!$F$5:$F$32,$B$3),$B$3))</f>
        <v/>
      </c>
      <c r="J99" s="24" t="str">
        <f>IF($F99="","",IFERROR(_xludf.XLOOKUP($F99,Account_Summary!$A$5:$A$198,Account_Summary!$F$5:$F$198,$B$3),$B$3))</f>
        <v/>
      </c>
      <c r="K99" s="24" t="str">
        <f t="shared" si="2"/>
        <v/>
      </c>
      <c r="L99" s="25" t="str">
        <f>IF(LEN(TRIM($C99&amp;$D99&amp;$E99&amp;$F99))=0,"",SUM(IFERROR(_xludf.XLOOKUP($C99,Category_Summary!$A$5:$A$18,Category_Summary!$G$5:$G$18,$D$3),$D$3)*0.3,IFERROR(_xludf.XLOOKUP($D99,Type_Summary!$A$5:$A$6,Type_Summary!$G$5:$G$6,$D$3),$D$3)*0.1,IFERROR(_xludf.XLOOKUP($E99,Product_Summary!$A$5:$A$32,Product_Summary!$G$5:$G$32,$D$3),$D$3)*0.3,IFERROR(_xludf.XLOOKUP($F99,Account_Summary!$A$5:$A$198,Account_Summary!$G$5:$G$198,$D$3),$D$3)*0.3))</f>
        <v/>
      </c>
      <c r="M99" s="17" t="str">
        <f>IF($K99="","",_xludf.IFS($K99&gt;=0.55,"Very High",$K99&gt;=0.45,"High",$K99&gt;=0.35,"Moderate",TRUE,"Low"))</f>
        <v/>
      </c>
      <c r="N99" s="18" t="str">
        <f>IF($K99="","",_xludf.IFS($K99&gt;=0.55,"Adopt smoothing by default; phase forecast over expected days and test P75/P90 sensitivity.",$K99&gt;=0.45,"Model a smoothing scenario; use expected spread days in forecast.",$K99&gt;=0.35,"Flag for commercial review; apply light smoothing if project-specific evidence supports it.",TRUE,"No default smoothing; assume short/same-day spread unless contract/customer evidence changes."))</f>
        <v/>
      </c>
    </row>
    <row r="100" spans="1:14" ht="10" customHeight="1" x14ac:dyDescent="0.35">
      <c r="A100" s="16"/>
      <c r="B100" s="17"/>
      <c r="C100" s="17"/>
      <c r="D100" s="17"/>
      <c r="E100" s="17"/>
      <c r="F100" s="17"/>
      <c r="G100" s="24" t="str">
        <f>IF($C100="","",IFERROR(_xludf.XLOOKUP($C100,Category_Summary!$A$5:$A$18,Category_Summary!$F$5:$F$18,$B$3),$B$3))</f>
        <v/>
      </c>
      <c r="H100" s="24" t="str">
        <f>IF($D100="","",IFERROR(_xludf.XLOOKUP($D100,Type_Summary!$A$5:$A$6,Type_Summary!$F$5:$F$6,$B$3),$B$3))</f>
        <v/>
      </c>
      <c r="I100" s="24" t="str">
        <f>IF($E100="","",IFERROR(_xludf.XLOOKUP($E100,Product_Summary!$A$5:$A$32,Product_Summary!$F$5:$F$32,$B$3),$B$3))</f>
        <v/>
      </c>
      <c r="J100" s="24" t="str">
        <f>IF($F100="","",IFERROR(_xludf.XLOOKUP($F100,Account_Summary!$A$5:$A$198,Account_Summary!$F$5:$F$198,$B$3),$B$3))</f>
        <v/>
      </c>
      <c r="K100" s="24" t="str">
        <f t="shared" si="2"/>
        <v/>
      </c>
      <c r="L100" s="25" t="str">
        <f>IF(LEN(TRIM($C100&amp;$D100&amp;$E100&amp;$F100))=0,"",SUM(IFERROR(_xludf.XLOOKUP($C100,Category_Summary!$A$5:$A$18,Category_Summary!$G$5:$G$18,$D$3),$D$3)*0.3,IFERROR(_xludf.XLOOKUP($D100,Type_Summary!$A$5:$A$6,Type_Summary!$G$5:$G$6,$D$3),$D$3)*0.1,IFERROR(_xludf.XLOOKUP($E100,Product_Summary!$A$5:$A$32,Product_Summary!$G$5:$G$32,$D$3),$D$3)*0.3,IFERROR(_xludf.XLOOKUP($F100,Account_Summary!$A$5:$A$198,Account_Summary!$G$5:$G$198,$D$3),$D$3)*0.3))</f>
        <v/>
      </c>
      <c r="M100" s="17" t="str">
        <f>IF($K100="","",_xludf.IFS($K100&gt;=0.55,"Very High",$K100&gt;=0.45,"High",$K100&gt;=0.35,"Moderate",TRUE,"Low"))</f>
        <v/>
      </c>
      <c r="N100" s="18" t="str">
        <f>IF($K100="","",_xludf.IFS($K100&gt;=0.55,"Adopt smoothing by default; phase forecast over expected days and test P75/P90 sensitivity.",$K100&gt;=0.45,"Model a smoothing scenario; use expected spread days in forecast.",$K100&gt;=0.35,"Flag for commercial review; apply light smoothing if project-specific evidence supports it.",TRUE,"No default smoothing; assume short/same-day spread unless contract/customer evidence changes."))</f>
        <v/>
      </c>
    </row>
    <row r="101" spans="1:14" ht="10" customHeight="1" x14ac:dyDescent="0.35">
      <c r="A101" s="16"/>
      <c r="B101" s="17"/>
      <c r="C101" s="17"/>
      <c r="D101" s="17"/>
      <c r="E101" s="17"/>
      <c r="F101" s="17"/>
      <c r="G101" s="24" t="str">
        <f>IF($C101="","",IFERROR(_xludf.XLOOKUP($C101,Category_Summary!$A$5:$A$18,Category_Summary!$F$5:$F$18,$B$3),$B$3))</f>
        <v/>
      </c>
      <c r="H101" s="24" t="str">
        <f>IF($D101="","",IFERROR(_xludf.XLOOKUP($D101,Type_Summary!$A$5:$A$6,Type_Summary!$F$5:$F$6,$B$3),$B$3))</f>
        <v/>
      </c>
      <c r="I101" s="24" t="str">
        <f>IF($E101="","",IFERROR(_xludf.XLOOKUP($E101,Product_Summary!$A$5:$A$32,Product_Summary!$F$5:$F$32,$B$3),$B$3))</f>
        <v/>
      </c>
      <c r="J101" s="24" t="str">
        <f>IF($F101="","",IFERROR(_xludf.XLOOKUP($F101,Account_Summary!$A$5:$A$198,Account_Summary!$F$5:$F$198,$B$3),$B$3))</f>
        <v/>
      </c>
      <c r="K101" s="24" t="str">
        <f t="shared" si="2"/>
        <v/>
      </c>
      <c r="L101" s="25" t="str">
        <f>IF(LEN(TRIM($C101&amp;$D101&amp;$E101&amp;$F101))=0,"",SUM(IFERROR(_xludf.XLOOKUP($C101,Category_Summary!$A$5:$A$18,Category_Summary!$G$5:$G$18,$D$3),$D$3)*0.3,IFERROR(_xludf.XLOOKUP($D101,Type_Summary!$A$5:$A$6,Type_Summary!$G$5:$G$6,$D$3),$D$3)*0.1,IFERROR(_xludf.XLOOKUP($E101,Product_Summary!$A$5:$A$32,Product_Summary!$G$5:$G$32,$D$3),$D$3)*0.3,IFERROR(_xludf.XLOOKUP($F101,Account_Summary!$A$5:$A$198,Account_Summary!$G$5:$G$198,$D$3),$D$3)*0.3))</f>
        <v/>
      </c>
      <c r="M101" s="17" t="str">
        <f>IF($K101="","",_xludf.IFS($K101&gt;=0.55,"Very High",$K101&gt;=0.45,"High",$K101&gt;=0.35,"Moderate",TRUE,"Low"))</f>
        <v/>
      </c>
      <c r="N101" s="18" t="str">
        <f>IF($K101="","",_xludf.IFS($K101&gt;=0.55,"Adopt smoothing by default; phase forecast over expected days and test P75/P90 sensitivity.",$K101&gt;=0.45,"Model a smoothing scenario; use expected spread days in forecast.",$K101&gt;=0.35,"Flag for commercial review; apply light smoothing if project-specific evidence supports it.",TRUE,"No default smoothing; assume short/same-day spread unless contract/customer evidence changes."))</f>
        <v/>
      </c>
    </row>
    <row r="102" spans="1:14" ht="10" customHeight="1" x14ac:dyDescent="0.35">
      <c r="A102" s="16"/>
      <c r="B102" s="17"/>
      <c r="C102" s="17"/>
      <c r="D102" s="17"/>
      <c r="E102" s="17"/>
      <c r="F102" s="17"/>
      <c r="G102" s="24" t="str">
        <f>IF($C102="","",IFERROR(_xludf.XLOOKUP($C102,Category_Summary!$A$5:$A$18,Category_Summary!$F$5:$F$18,$B$3),$B$3))</f>
        <v/>
      </c>
      <c r="H102" s="24" t="str">
        <f>IF($D102="","",IFERROR(_xludf.XLOOKUP($D102,Type_Summary!$A$5:$A$6,Type_Summary!$F$5:$F$6,$B$3),$B$3))</f>
        <v/>
      </c>
      <c r="I102" s="24" t="str">
        <f>IF($E102="","",IFERROR(_xludf.XLOOKUP($E102,Product_Summary!$A$5:$A$32,Product_Summary!$F$5:$F$32,$B$3),$B$3))</f>
        <v/>
      </c>
      <c r="J102" s="24" t="str">
        <f>IF($F102="","",IFERROR(_xludf.XLOOKUP($F102,Account_Summary!$A$5:$A$198,Account_Summary!$F$5:$F$198,$B$3),$B$3))</f>
        <v/>
      </c>
      <c r="K102" s="24" t="str">
        <f t="shared" si="2"/>
        <v/>
      </c>
      <c r="L102" s="25" t="str">
        <f>IF(LEN(TRIM($C102&amp;$D102&amp;$E102&amp;$F102))=0,"",SUM(IFERROR(_xludf.XLOOKUP($C102,Category_Summary!$A$5:$A$18,Category_Summary!$G$5:$G$18,$D$3),$D$3)*0.3,IFERROR(_xludf.XLOOKUP($D102,Type_Summary!$A$5:$A$6,Type_Summary!$G$5:$G$6,$D$3),$D$3)*0.1,IFERROR(_xludf.XLOOKUP($E102,Product_Summary!$A$5:$A$32,Product_Summary!$G$5:$G$32,$D$3),$D$3)*0.3,IFERROR(_xludf.XLOOKUP($F102,Account_Summary!$A$5:$A$198,Account_Summary!$G$5:$G$198,$D$3),$D$3)*0.3))</f>
        <v/>
      </c>
      <c r="M102" s="17" t="str">
        <f>IF($K102="","",_xludf.IFS($K102&gt;=0.55,"Very High",$K102&gt;=0.45,"High",$K102&gt;=0.35,"Moderate",TRUE,"Low"))</f>
        <v/>
      </c>
      <c r="N102" s="18" t="str">
        <f>IF($K102="","",_xludf.IFS($K102&gt;=0.55,"Adopt smoothing by default; phase forecast over expected days and test P75/P90 sensitivity.",$K102&gt;=0.45,"Model a smoothing scenario; use expected spread days in forecast.",$K102&gt;=0.35,"Flag for commercial review; apply light smoothing if project-specific evidence supports it.",TRUE,"No default smoothing; assume short/same-day spread unless contract/customer evidence changes."))</f>
        <v/>
      </c>
    </row>
    <row r="103" spans="1:14" ht="10" customHeight="1" x14ac:dyDescent="0.35">
      <c r="A103" s="16"/>
      <c r="B103" s="17"/>
      <c r="C103" s="17"/>
      <c r="D103" s="17"/>
      <c r="E103" s="17"/>
      <c r="F103" s="17"/>
      <c r="G103" s="24" t="str">
        <f>IF($C103="","",IFERROR(_xludf.XLOOKUP($C103,Category_Summary!$A$5:$A$18,Category_Summary!$F$5:$F$18,$B$3),$B$3))</f>
        <v/>
      </c>
      <c r="H103" s="24" t="str">
        <f>IF($D103="","",IFERROR(_xludf.XLOOKUP($D103,Type_Summary!$A$5:$A$6,Type_Summary!$F$5:$F$6,$B$3),$B$3))</f>
        <v/>
      </c>
      <c r="I103" s="24" t="str">
        <f>IF($E103="","",IFERROR(_xludf.XLOOKUP($E103,Product_Summary!$A$5:$A$32,Product_Summary!$F$5:$F$32,$B$3),$B$3))</f>
        <v/>
      </c>
      <c r="J103" s="24" t="str">
        <f>IF($F103="","",IFERROR(_xludf.XLOOKUP($F103,Account_Summary!$A$5:$A$198,Account_Summary!$F$5:$F$198,$B$3),$B$3))</f>
        <v/>
      </c>
      <c r="K103" s="24" t="str">
        <f t="shared" si="2"/>
        <v/>
      </c>
      <c r="L103" s="25" t="str">
        <f>IF(LEN(TRIM($C103&amp;$D103&amp;$E103&amp;$F103))=0,"",SUM(IFERROR(_xludf.XLOOKUP($C103,Category_Summary!$A$5:$A$18,Category_Summary!$G$5:$G$18,$D$3),$D$3)*0.3,IFERROR(_xludf.XLOOKUP($D103,Type_Summary!$A$5:$A$6,Type_Summary!$G$5:$G$6,$D$3),$D$3)*0.1,IFERROR(_xludf.XLOOKUP($E103,Product_Summary!$A$5:$A$32,Product_Summary!$G$5:$G$32,$D$3),$D$3)*0.3,IFERROR(_xludf.XLOOKUP($F103,Account_Summary!$A$5:$A$198,Account_Summary!$G$5:$G$198,$D$3),$D$3)*0.3))</f>
        <v/>
      </c>
      <c r="M103" s="17" t="str">
        <f>IF($K103="","",_xludf.IFS($K103&gt;=0.55,"Very High",$K103&gt;=0.45,"High",$K103&gt;=0.35,"Moderate",TRUE,"Low"))</f>
        <v/>
      </c>
      <c r="N103" s="18" t="str">
        <f>IF($K103="","",_xludf.IFS($K103&gt;=0.55,"Adopt smoothing by default; phase forecast over expected days and test P75/P90 sensitivity.",$K103&gt;=0.45,"Model a smoothing scenario; use expected spread days in forecast.",$K103&gt;=0.35,"Flag for commercial review; apply light smoothing if project-specific evidence supports it.",TRUE,"No default smoothing; assume short/same-day spread unless contract/customer evidence changes."))</f>
        <v/>
      </c>
    </row>
    <row r="104" spans="1:14" ht="10" customHeight="1" x14ac:dyDescent="0.35">
      <c r="A104" s="16"/>
      <c r="B104" s="17"/>
      <c r="C104" s="17"/>
      <c r="D104" s="17"/>
      <c r="E104" s="17"/>
      <c r="F104" s="17"/>
      <c r="G104" s="24" t="str">
        <f>IF($C104="","",IFERROR(_xludf.XLOOKUP($C104,Category_Summary!$A$5:$A$18,Category_Summary!$F$5:$F$18,$B$3),$B$3))</f>
        <v/>
      </c>
      <c r="H104" s="24" t="str">
        <f>IF($D104="","",IFERROR(_xludf.XLOOKUP($D104,Type_Summary!$A$5:$A$6,Type_Summary!$F$5:$F$6,$B$3),$B$3))</f>
        <v/>
      </c>
      <c r="I104" s="24" t="str">
        <f>IF($E104="","",IFERROR(_xludf.XLOOKUP($E104,Product_Summary!$A$5:$A$32,Product_Summary!$F$5:$F$32,$B$3),$B$3))</f>
        <v/>
      </c>
      <c r="J104" s="24" t="str">
        <f>IF($F104="","",IFERROR(_xludf.XLOOKUP($F104,Account_Summary!$A$5:$A$198,Account_Summary!$F$5:$F$198,$B$3),$B$3))</f>
        <v/>
      </c>
      <c r="K104" s="24" t="str">
        <f t="shared" si="2"/>
        <v/>
      </c>
      <c r="L104" s="25" t="str">
        <f>IF(LEN(TRIM($C104&amp;$D104&amp;$E104&amp;$F104))=0,"",SUM(IFERROR(_xludf.XLOOKUP($C104,Category_Summary!$A$5:$A$18,Category_Summary!$G$5:$G$18,$D$3),$D$3)*0.3,IFERROR(_xludf.XLOOKUP($D104,Type_Summary!$A$5:$A$6,Type_Summary!$G$5:$G$6,$D$3),$D$3)*0.1,IFERROR(_xludf.XLOOKUP($E104,Product_Summary!$A$5:$A$32,Product_Summary!$G$5:$G$32,$D$3),$D$3)*0.3,IFERROR(_xludf.XLOOKUP($F104,Account_Summary!$A$5:$A$198,Account_Summary!$G$5:$G$198,$D$3),$D$3)*0.3))</f>
        <v/>
      </c>
      <c r="M104" s="17" t="str">
        <f>IF($K104="","",_xludf.IFS($K104&gt;=0.55,"Very High",$K104&gt;=0.45,"High",$K104&gt;=0.35,"Moderate",TRUE,"Low"))</f>
        <v/>
      </c>
      <c r="N104" s="18" t="str">
        <f>IF($K104="","",_xludf.IFS($K104&gt;=0.55,"Adopt smoothing by default; phase forecast over expected days and test P75/P90 sensitivity.",$K104&gt;=0.45,"Model a smoothing scenario; use expected spread days in forecast.",$K104&gt;=0.35,"Flag for commercial review; apply light smoothing if project-specific evidence supports it.",TRUE,"No default smoothing; assume short/same-day spread unless contract/customer evidence changes."))</f>
        <v/>
      </c>
    </row>
    <row r="105" spans="1:14" ht="10" customHeight="1" x14ac:dyDescent="0.35">
      <c r="A105" s="19"/>
      <c r="B105" s="20"/>
      <c r="C105" s="20"/>
      <c r="D105" s="20"/>
      <c r="E105" s="20"/>
      <c r="F105" s="20"/>
      <c r="G105" s="30" t="str">
        <f>IF($C105="","",IFERROR(_xludf.XLOOKUP($C105,Category_Summary!$A$5:$A$18,Category_Summary!$F$5:$F$18,$B$3),$B$3))</f>
        <v/>
      </c>
      <c r="H105" s="30" t="str">
        <f>IF($D105="","",IFERROR(_xludf.XLOOKUP($D105,Type_Summary!$A$5:$A$6,Type_Summary!$F$5:$F$6,$B$3),$B$3))</f>
        <v/>
      </c>
      <c r="I105" s="30" t="str">
        <f>IF($E105="","",IFERROR(_xludf.XLOOKUP($E105,Product_Summary!$A$5:$A$32,Product_Summary!$F$5:$F$32,$B$3),$B$3))</f>
        <v/>
      </c>
      <c r="J105" s="30" t="str">
        <f>IF($F105="","",IFERROR(_xludf.XLOOKUP($F105,Account_Summary!$A$5:$A$198,Account_Summary!$F$5:$F$198,$B$3),$B$3))</f>
        <v/>
      </c>
      <c r="K105" s="30" t="str">
        <f t="shared" si="2"/>
        <v/>
      </c>
      <c r="L105" s="32" t="str">
        <f>IF(LEN(TRIM($C105&amp;$D105&amp;$E105&amp;$F105))=0,"",SUM(IFERROR(_xludf.XLOOKUP($C105,Category_Summary!$A$5:$A$18,Category_Summary!$G$5:$G$18,$D$3),$D$3)*0.3,IFERROR(_xludf.XLOOKUP($D105,Type_Summary!$A$5:$A$6,Type_Summary!$G$5:$G$6,$D$3),$D$3)*0.1,IFERROR(_xludf.XLOOKUP($E105,Product_Summary!$A$5:$A$32,Product_Summary!$G$5:$G$32,$D$3),$D$3)*0.3,IFERROR(_xludf.XLOOKUP($F105,Account_Summary!$A$5:$A$198,Account_Summary!$G$5:$G$198,$D$3),$D$3)*0.3))</f>
        <v/>
      </c>
      <c r="M105" s="20" t="str">
        <f>IF($K105="","",_xludf.IFS($K105&gt;=0.55,"Very High",$K105&gt;=0.45,"High",$K105&gt;=0.35,"Moderate",TRUE,"Low"))</f>
        <v/>
      </c>
      <c r="N105" s="21" t="str">
        <f>IF($K105="","",_xludf.IFS($K105&gt;=0.55,"Adopt smoothing by default; phase forecast over expected days and test P75/P90 sensitivity.",$K105&gt;=0.45,"Model a smoothing scenario; use expected spread days in forecast.",$K105&gt;=0.35,"Flag for commercial review; apply light smoothing if project-specific evidence supports it.",TRUE,"No default smoothing; assume short/same-day spread unless contract/customer evidence changes."))</f>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1"/>
  <sheetViews>
    <sheetView topLeftCell="A44" workbookViewId="0">
      <selection activeCell="B73" sqref="B73"/>
    </sheetView>
  </sheetViews>
  <sheetFormatPr defaultRowHeight="14.5" x14ac:dyDescent="0.35"/>
  <cols>
    <col min="1" max="1" width="28" customWidth="1"/>
    <col min="2" max="2" width="120.6328125" customWidth="1"/>
  </cols>
  <sheetData>
    <row r="1" spans="1:2" ht="51.5" customHeight="1" x14ac:dyDescent="0.5">
      <c r="A1" s="8" t="s">
        <v>2409</v>
      </c>
      <c r="B1" s="8"/>
    </row>
    <row r="2" spans="1:2" ht="30" customHeight="1" x14ac:dyDescent="0.35">
      <c r="A2" s="13" t="s">
        <v>2410</v>
      </c>
      <c r="B2" s="15" t="s">
        <v>2411</v>
      </c>
    </row>
    <row r="3" spans="1:2" ht="30" customHeight="1" x14ac:dyDescent="0.35">
      <c r="A3" s="16" t="s">
        <v>2412</v>
      </c>
      <c r="B3" s="18" t="s">
        <v>2413</v>
      </c>
    </row>
    <row r="4" spans="1:2" ht="30" customHeight="1" x14ac:dyDescent="0.35">
      <c r="A4" s="16" t="s">
        <v>2414</v>
      </c>
      <c r="B4" s="43" t="s">
        <v>2456</v>
      </c>
    </row>
    <row r="5" spans="1:2" ht="30" customHeight="1" x14ac:dyDescent="0.35">
      <c r="A5" s="16" t="s">
        <v>2415</v>
      </c>
      <c r="B5" s="18" t="s">
        <v>2416</v>
      </c>
    </row>
    <row r="6" spans="1:2" ht="30" customHeight="1" x14ac:dyDescent="0.35">
      <c r="A6" s="16" t="s">
        <v>2417</v>
      </c>
      <c r="B6" s="18" t="s">
        <v>2418</v>
      </c>
    </row>
    <row r="7" spans="1:2" ht="30" customHeight="1" x14ac:dyDescent="0.35">
      <c r="A7" s="16" t="s">
        <v>2419</v>
      </c>
      <c r="B7" s="18" t="s">
        <v>2420</v>
      </c>
    </row>
    <row r="8" spans="1:2" ht="30" customHeight="1" x14ac:dyDescent="0.35">
      <c r="A8" s="16" t="s">
        <v>2421</v>
      </c>
      <c r="B8" s="18" t="s">
        <v>2422</v>
      </c>
    </row>
    <row r="9" spans="1:2" ht="30" customHeight="1" x14ac:dyDescent="0.35">
      <c r="A9" s="16" t="s">
        <v>2423</v>
      </c>
      <c r="B9" s="18" t="s">
        <v>2424</v>
      </c>
    </row>
    <row r="10" spans="1:2" ht="30" customHeight="1" x14ac:dyDescent="0.35">
      <c r="A10" s="16" t="s">
        <v>2425</v>
      </c>
      <c r="B10" s="18" t="s">
        <v>2426</v>
      </c>
    </row>
    <row r="11" spans="1:2" ht="30" customHeight="1" x14ac:dyDescent="0.35">
      <c r="A11" s="19" t="s">
        <v>2427</v>
      </c>
      <c r="B11" s="21" t="s">
        <v>2428</v>
      </c>
    </row>
    <row r="13" spans="1:2" x14ac:dyDescent="0.35">
      <c r="B13" s="42" t="s">
        <v>2457</v>
      </c>
    </row>
    <row r="14" spans="1:2" x14ac:dyDescent="0.35">
      <c r="B14" t="s">
        <v>2429</v>
      </c>
    </row>
    <row r="16" spans="1:2" x14ac:dyDescent="0.35">
      <c r="B16" t="s">
        <v>2430</v>
      </c>
    </row>
    <row r="17" spans="2:2" x14ac:dyDescent="0.35">
      <c r="B17" t="s">
        <v>2431</v>
      </c>
    </row>
    <row r="18" spans="2:2" x14ac:dyDescent="0.35">
      <c r="B18" t="s">
        <v>2432</v>
      </c>
    </row>
    <row r="20" spans="2:2" x14ac:dyDescent="0.35">
      <c r="B20" t="s">
        <v>2433</v>
      </c>
    </row>
    <row r="22" spans="2:2" x14ac:dyDescent="0.35">
      <c r="B22" t="s">
        <v>2434</v>
      </c>
    </row>
    <row r="24" spans="2:2" x14ac:dyDescent="0.35">
      <c r="B24" t="s">
        <v>2435</v>
      </c>
    </row>
    <row r="25" spans="2:2" x14ac:dyDescent="0.35">
      <c r="B25" t="s">
        <v>2436</v>
      </c>
    </row>
    <row r="26" spans="2:2" x14ac:dyDescent="0.35">
      <c r="B26" t="s">
        <v>2437</v>
      </c>
    </row>
    <row r="27" spans="2:2" x14ac:dyDescent="0.35">
      <c r="B27" t="s">
        <v>2438</v>
      </c>
    </row>
    <row r="29" spans="2:2" x14ac:dyDescent="0.35">
      <c r="B29" t="s">
        <v>2439</v>
      </c>
    </row>
    <row r="30" spans="2:2" x14ac:dyDescent="0.35">
      <c r="B30" t="s">
        <v>2440</v>
      </c>
    </row>
    <row r="31" spans="2:2" x14ac:dyDescent="0.35">
      <c r="B31" t="s">
        <v>2441</v>
      </c>
    </row>
    <row r="32" spans="2:2" x14ac:dyDescent="0.35">
      <c r="B32" t="s">
        <v>2442</v>
      </c>
    </row>
    <row r="33" spans="2:2" x14ac:dyDescent="0.35">
      <c r="B33" t="s">
        <v>2443</v>
      </c>
    </row>
    <row r="35" spans="2:2" x14ac:dyDescent="0.35">
      <c r="B35" t="s">
        <v>2444</v>
      </c>
    </row>
    <row r="36" spans="2:2" x14ac:dyDescent="0.35">
      <c r="B36" t="s">
        <v>2445</v>
      </c>
    </row>
    <row r="38" spans="2:2" x14ac:dyDescent="0.35">
      <c r="B38" t="s">
        <v>2446</v>
      </c>
    </row>
    <row r="39" spans="2:2" x14ac:dyDescent="0.35">
      <c r="B39" t="s">
        <v>2447</v>
      </c>
    </row>
    <row r="40" spans="2:2" x14ac:dyDescent="0.35">
      <c r="B40" t="s">
        <v>2448</v>
      </c>
    </row>
    <row r="41" spans="2:2" x14ac:dyDescent="0.35">
      <c r="B41" t="s">
        <v>2449</v>
      </c>
    </row>
    <row r="42" spans="2:2" x14ac:dyDescent="0.35">
      <c r="B42" t="s">
        <v>2450</v>
      </c>
    </row>
    <row r="44" spans="2:2" x14ac:dyDescent="0.35">
      <c r="B44" t="s">
        <v>2451</v>
      </c>
    </row>
    <row r="45" spans="2:2" x14ac:dyDescent="0.35">
      <c r="B45" t="s">
        <v>2452</v>
      </c>
    </row>
    <row r="46" spans="2:2" x14ac:dyDescent="0.35">
      <c r="B46" t="s">
        <v>2453</v>
      </c>
    </row>
    <row r="47" spans="2:2" x14ac:dyDescent="0.35">
      <c r="B47" t="s">
        <v>2454</v>
      </c>
    </row>
    <row r="48" spans="2:2" x14ac:dyDescent="0.35">
      <c r="B48" t="s">
        <v>2455</v>
      </c>
    </row>
    <row r="52" spans="1:2" x14ac:dyDescent="0.35">
      <c r="A52" s="48" t="s">
        <v>2458</v>
      </c>
      <c r="B52" s="51" t="s">
        <v>2459</v>
      </c>
    </row>
    <row r="53" spans="1:2" x14ac:dyDescent="0.35">
      <c r="A53" s="50" t="s">
        <v>2460</v>
      </c>
      <c r="B53" s="49" t="s">
        <v>2461</v>
      </c>
    </row>
    <row r="54" spans="1:2" x14ac:dyDescent="0.35">
      <c r="A54" s="50" t="s">
        <v>2462</v>
      </c>
      <c r="B54" s="49" t="s">
        <v>2463</v>
      </c>
    </row>
    <row r="55" spans="1:2" x14ac:dyDescent="0.35">
      <c r="A55" s="50" t="s">
        <v>2464</v>
      </c>
      <c r="B55" s="49" t="s">
        <v>2465</v>
      </c>
    </row>
    <row r="56" spans="1:2" x14ac:dyDescent="0.35">
      <c r="A56" s="50" t="s">
        <v>2466</v>
      </c>
      <c r="B56" s="49" t="s">
        <v>2467</v>
      </c>
    </row>
    <row r="57" spans="1:2" x14ac:dyDescent="0.35">
      <c r="A57" s="50" t="s">
        <v>2468</v>
      </c>
      <c r="B57" s="49" t="s">
        <v>2469</v>
      </c>
    </row>
    <row r="61" spans="1:2" x14ac:dyDescent="0.35">
      <c r="A61" s="48" t="s">
        <v>2481</v>
      </c>
      <c r="B61" s="51" t="s">
        <v>2470</v>
      </c>
    </row>
    <row r="62" spans="1:2" x14ac:dyDescent="0.35">
      <c r="A62" s="50" t="s">
        <v>2169</v>
      </c>
      <c r="B62" s="49" t="s">
        <v>2471</v>
      </c>
    </row>
    <row r="63" spans="1:2" x14ac:dyDescent="0.35">
      <c r="A63" s="50" t="s">
        <v>2189</v>
      </c>
      <c r="B63" s="49" t="s">
        <v>2472</v>
      </c>
    </row>
    <row r="64" spans="1:2" x14ac:dyDescent="0.35">
      <c r="A64" s="50" t="s">
        <v>2190</v>
      </c>
      <c r="B64" s="49" t="s">
        <v>2473</v>
      </c>
    </row>
    <row r="65" spans="1:2" x14ac:dyDescent="0.35">
      <c r="A65" s="50" t="s">
        <v>2191</v>
      </c>
      <c r="B65" s="49" t="s">
        <v>2474</v>
      </c>
    </row>
    <row r="66" spans="1:2" x14ac:dyDescent="0.35">
      <c r="A66" s="50" t="s">
        <v>2192</v>
      </c>
      <c r="B66" s="49" t="s">
        <v>2475</v>
      </c>
    </row>
    <row r="67" spans="1:2" x14ac:dyDescent="0.35">
      <c r="A67" s="50" t="s">
        <v>2193</v>
      </c>
      <c r="B67" s="49" t="s">
        <v>2476</v>
      </c>
    </row>
    <row r="68" spans="1:2" x14ac:dyDescent="0.35">
      <c r="A68" s="50" t="s">
        <v>2171</v>
      </c>
      <c r="B68" s="49" t="s">
        <v>2477</v>
      </c>
    </row>
    <row r="69" spans="1:2" x14ac:dyDescent="0.35">
      <c r="A69" s="50" t="s">
        <v>2172</v>
      </c>
      <c r="B69" s="49" t="s">
        <v>2478</v>
      </c>
    </row>
    <row r="70" spans="1:2" x14ac:dyDescent="0.35">
      <c r="A70" s="50" t="s">
        <v>2173</v>
      </c>
      <c r="B70" s="49" t="s">
        <v>2479</v>
      </c>
    </row>
    <row r="71" spans="1:2" x14ac:dyDescent="0.35">
      <c r="A71" s="50" t="s">
        <v>2195</v>
      </c>
      <c r="B71" s="49" t="s">
        <v>2480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Historic_Data</vt:lpstr>
      <vt:lpstr>Dashboard</vt:lpstr>
      <vt:lpstr>Category_Summary</vt:lpstr>
      <vt:lpstr>Type_Summary</vt:lpstr>
      <vt:lpstr>Category_Type_Summary</vt:lpstr>
      <vt:lpstr>Product_Summary</vt:lpstr>
      <vt:lpstr>Account_Summary</vt:lpstr>
      <vt:lpstr>Future_Scoring</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Ojuri</dc:creator>
  <cp:lastModifiedBy>Samuel Ojuri</cp:lastModifiedBy>
  <dcterms:created xsi:type="dcterms:W3CDTF">2026-04-29T10:04:16Z</dcterms:created>
  <dcterms:modified xsi:type="dcterms:W3CDTF">2026-04-29T10:10:44Z</dcterms:modified>
</cp:coreProperties>
</file>